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craultra_access\SISTEMA\"/>
    </mc:Choice>
  </mc:AlternateContent>
  <xr:revisionPtr revIDLastSave="0" documentId="13_ncr:1_{ECE4429A-C200-4B9D-ABBB-9CA284BDDE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CCION" sheetId="1" r:id="rId1"/>
    <sheet name="escala" sheetId="3" state="hidden" r:id="rId2"/>
    <sheet name="item" sheetId="4" state="hidden" r:id="rId3"/>
    <sheet name="datos" sheetId="6" state="hidden" r:id="rId4"/>
    <sheet name="Eval" sheetId="5" state="hidden" r:id="rId5"/>
  </sheets>
  <definedNames>
    <definedName name="_xlnm._FilterDatabase" localSheetId="2" hidden="1">item!$A$1:$I$37</definedName>
    <definedName name="_xlnm.Print_Area" localSheetId="0">SECCION!$A$1:$AK$66</definedName>
    <definedName name="escala">escala!$B$1:$D$6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6" l="1"/>
  <c r="B2" i="1"/>
  <c r="K2" i="6"/>
  <c r="E1" i="6" a="1"/>
  <c r="E1" i="6" s="1"/>
  <c r="B1" i="6" a="1"/>
  <c r="B1" i="6" s="1"/>
  <c r="L2" i="6" s="1"/>
  <c r="A1" i="6" a="1"/>
  <c r="A1" i="6" s="1"/>
  <c r="G2" i="6" a="1"/>
  <c r="F2" i="6" a="1"/>
  <c r="D2" i="6" a="1"/>
  <c r="C2" i="6" a="1"/>
  <c r="C2" i="6" l="1"/>
  <c r="G2" i="6"/>
  <c r="F2" i="6"/>
  <c r="D2" i="6"/>
  <c r="F4" i="1" a="1"/>
  <c r="AK4" i="1" l="1"/>
  <c r="F4" i="1"/>
  <c r="AJ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<sst xmlns="http://schemas.openxmlformats.org/spreadsheetml/2006/main" count="47" uniqueCount="44">
  <si>
    <t>Puntaje máximo:</t>
  </si>
  <si>
    <t>Pregunta:</t>
  </si>
  <si>
    <t>Reproceso</t>
  </si>
  <si>
    <t>exigencia</t>
  </si>
  <si>
    <t>id_escala</t>
  </si>
  <si>
    <t>cod_nivel</t>
  </si>
  <si>
    <t>nivel</t>
  </si>
  <si>
    <t>nivel_descripcion</t>
  </si>
  <si>
    <t>id_eval</t>
  </si>
  <si>
    <t>forma</t>
  </si>
  <si>
    <t>item_orden</t>
  </si>
  <si>
    <t>item_tipo</t>
  </si>
  <si>
    <t>item_num</t>
  </si>
  <si>
    <t>item_nombre</t>
  </si>
  <si>
    <t>registro</t>
  </si>
  <si>
    <t>item_puntaje</t>
  </si>
  <si>
    <t>puntaje_asignado</t>
  </si>
  <si>
    <t>puntaje</t>
  </si>
  <si>
    <t>tipo</t>
  </si>
  <si>
    <t>paso</t>
  </si>
  <si>
    <t>Formas</t>
  </si>
  <si>
    <t>Max_ru</t>
  </si>
  <si>
    <t>n item</t>
  </si>
  <si>
    <t>inicio</t>
  </si>
  <si>
    <t>cod_asig</t>
  </si>
  <si>
    <t>ano</t>
  </si>
  <si>
    <t>periodo</t>
  </si>
  <si>
    <t>num_prueba</t>
  </si>
  <si>
    <t>nombre_prueba</t>
  </si>
  <si>
    <t>tiene_formas</t>
  </si>
  <si>
    <t>retro_alum</t>
  </si>
  <si>
    <t>retro_doc</t>
  </si>
  <si>
    <t>ver_correctas</t>
  </si>
  <si>
    <t>tiene_grupo</t>
  </si>
  <si>
    <t>archivo_tabla</t>
  </si>
  <si>
    <t>cargado_fecha</t>
  </si>
  <si>
    <t>num_ppt</t>
  </si>
  <si>
    <t>cod_interno</t>
  </si>
  <si>
    <t>VALIDA_P</t>
  </si>
  <si>
    <t>newplanilla</t>
  </si>
  <si>
    <t>Forma</t>
  </si>
  <si>
    <t>Grupo</t>
  </si>
  <si>
    <t>Puntaje</t>
  </si>
  <si>
    <t>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</si>
</sst>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&quot;NL&quot;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Aptos Light"/>
      <family val="2"/>
    </font>
    <font>
      <b/>
      <sz val="26"/>
      <color theme="1"/>
      <name val="Aptos Light"/>
      <family val="2"/>
    </font>
    <font>
      <b/>
      <sz val="22"/>
      <color theme="1"/>
      <name val="Aptos Light"/>
      <family val="2"/>
    </font>
    <font>
      <sz val="14"/>
      <color theme="1"/>
      <name val="Aptos Light"/>
      <family val="2"/>
    </font>
    <font>
      <sz val="8"/>
      <name val="Calibri"/>
      <family val="2"/>
      <scheme val="minor"/>
    </font>
    <font>
      <sz val="12"/>
      <color theme="1"/>
      <name val="Yu Gothic Medium"/>
      <family val="2"/>
    </font>
    <font>
      <b/>
      <sz val="12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theme="0"/>
      <name val="Arial Narrow"/>
      <family val="2"/>
    </font>
    <font>
      <sz val="11"/>
      <color theme="1"/>
      <name val="Arial Narrow"/>
      <family val="2"/>
    </font>
    <font>
      <b/>
      <sz val="16"/>
      <color theme="0"/>
      <name val="Arial Narrow"/>
      <family val="2"/>
    </font>
    <font>
      <b/>
      <sz val="18"/>
      <color theme="0"/>
      <name val="Arial Narrow"/>
      <family val="2"/>
    </font>
    <font>
      <sz val="18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 tint="0.34998626667073579"/>
      <name val="Arial Narrow"/>
      <family val="2"/>
    </font>
    <font>
      <sz val="14"/>
      <color theme="1"/>
      <name val="Arial Narrow"/>
      <family val="2"/>
    </font>
    <font>
      <sz val="11"/>
      <color rgb="FF000000"/>
      <name val="Calibri"/>
      <family val="2"/>
    </font>
    <font>
      <sz val="14"/>
      <color theme="0"/>
      <name val="Aptos Light"/>
      <family val="2"/>
    </font>
    <font>
      <sz val="14"/>
      <name val="Aptos Light"/>
      <family val="2"/>
    </font>
    <font>
      <sz val="12"/>
      <color theme="0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14996795556505021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14996795556505021"/>
      </left>
      <right style="hair">
        <color theme="0" tint="-0.14993743705557422"/>
      </right>
      <top style="hair">
        <color theme="0" tint="-0.14993743705557422"/>
      </top>
      <bottom/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/>
      </left>
      <right/>
      <top/>
      <bottom style="hair">
        <color theme="0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59">
    <xf numFmtId="0" fontId="0" fillId="0" borderId="0" xfId="0"/>
    <xf numFmtId="0" fontId="1" fillId="6" borderId="1" xfId="1" applyFont="1" applyFill="1" applyBorder="1" applyAlignment="1">
      <alignment horizontal="center"/>
    </xf>
    <xf numFmtId="0" fontId="1" fillId="0" borderId="2" xfId="1" applyFont="1" applyBorder="1"/>
    <xf numFmtId="0" fontId="1" fillId="0" borderId="2" xfId="1" applyFont="1" applyBorder="1" applyAlignment="1">
      <alignment horizontal="right"/>
    </xf>
    <xf numFmtId="0" fontId="1" fillId="6" borderId="1" xfId="2" applyFont="1" applyFill="1" applyBorder="1" applyAlignment="1">
      <alignment horizontal="center"/>
    </xf>
    <xf numFmtId="0" fontId="1" fillId="6" borderId="1" xfId="3" applyFont="1" applyFill="1" applyBorder="1" applyAlignment="1">
      <alignment horizontal="center"/>
    </xf>
    <xf numFmtId="0" fontId="1" fillId="0" borderId="2" xfId="3" applyFont="1" applyBorder="1" applyAlignment="1">
      <alignment horizontal="right"/>
    </xf>
    <xf numFmtId="0" fontId="1" fillId="0" borderId="2" xfId="3" applyFont="1" applyBorder="1"/>
    <xf numFmtId="0" fontId="1" fillId="6" borderId="3" xfId="2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7" fontId="0" fillId="0" borderId="0" xfId="0" applyNumberFormat="1"/>
    <xf numFmtId="165" fontId="3" fillId="0" borderId="0" xfId="0" applyNumberFormat="1" applyFont="1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9" fillId="4" borderId="17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vertical="center"/>
    </xf>
    <xf numFmtId="0" fontId="15" fillId="5" borderId="10" xfId="0" applyFont="1" applyFill="1" applyBorder="1" applyAlignment="1">
      <alignment horizontal="center" vertical="center" textRotation="90"/>
    </xf>
    <xf numFmtId="0" fontId="16" fillId="0" borderId="13" xfId="0" applyFont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6" fillId="0" borderId="9" xfId="0" applyFont="1" applyBorder="1" applyAlignment="1">
      <alignment vertical="center"/>
    </xf>
    <xf numFmtId="0" fontId="12" fillId="4" borderId="6" xfId="0" applyFont="1" applyFill="1" applyBorder="1" applyAlignment="1">
      <alignment horizontal="center" vertical="center"/>
    </xf>
    <xf numFmtId="0" fontId="16" fillId="0" borderId="7" xfId="0" applyFont="1" applyBorder="1" applyAlignment="1">
      <alignment vertical="center"/>
    </xf>
    <xf numFmtId="0" fontId="16" fillId="4" borderId="19" xfId="0" applyFont="1" applyFill="1" applyBorder="1" applyAlignment="1">
      <alignment horizontal="left" textRotation="90" wrapText="1"/>
    </xf>
    <xf numFmtId="0" fontId="13" fillId="3" borderId="4" xfId="0" applyFont="1" applyFill="1" applyBorder="1" applyAlignment="1">
      <alignment horizontal="center"/>
    </xf>
    <xf numFmtId="0" fontId="13" fillId="10" borderId="5" xfId="0" applyFont="1" applyFill="1" applyBorder="1" applyAlignment="1">
      <alignment horizontal="center" textRotation="90"/>
    </xf>
    <xf numFmtId="0" fontId="13" fillId="9" borderId="23" xfId="0" applyFont="1" applyFill="1" applyBorder="1" applyAlignment="1">
      <alignment horizontal="center" textRotation="90"/>
    </xf>
    <xf numFmtId="0" fontId="13" fillId="12" borderId="11" xfId="0" applyFont="1" applyFill="1" applyBorder="1" applyAlignment="1">
      <alignment horizontal="center" textRotation="90" wrapText="1"/>
    </xf>
    <xf numFmtId="0" fontId="14" fillId="13" borderId="4" xfId="0" applyFont="1" applyFill="1" applyBorder="1" applyAlignment="1">
      <alignment horizontal="center" textRotation="90"/>
    </xf>
    <xf numFmtId="0" fontId="16" fillId="7" borderId="9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4" borderId="20" xfId="0" applyFont="1" applyFill="1" applyBorder="1" applyAlignment="1">
      <alignment horizontal="center" vertical="center"/>
    </xf>
    <xf numFmtId="0" fontId="16" fillId="4" borderId="21" xfId="0" applyFont="1" applyFill="1" applyBorder="1" applyAlignment="1">
      <alignment horizontal="center" vertical="center"/>
    </xf>
    <xf numFmtId="164" fontId="18" fillId="8" borderId="9" xfId="0" applyNumberFormat="1" applyFont="1" applyFill="1" applyBorder="1" applyAlignment="1">
      <alignment horizontal="center" vertical="center"/>
    </xf>
    <xf numFmtId="164" fontId="18" fillId="8" borderId="7" xfId="0" applyNumberFormat="1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20" fillId="14" borderId="0" xfId="0" applyFont="1" applyFill="1" applyAlignment="1">
      <alignment horizontal="center"/>
    </xf>
    <xf numFmtId="0" fontId="11" fillId="0" borderId="12" xfId="0" applyFont="1" applyBorder="1" applyAlignment="1">
      <alignment vertical="center"/>
    </xf>
    <xf numFmtId="0" fontId="21" fillId="14" borderId="0" xfId="0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0" fontId="17" fillId="3" borderId="0" xfId="0" applyFont="1" applyFill="1" applyAlignment="1">
      <alignment horizontal="right" vertical="center" indent="1"/>
    </xf>
    <xf numFmtId="0" fontId="17" fillId="3" borderId="22" xfId="0" applyFont="1" applyFill="1" applyBorder="1" applyAlignment="1">
      <alignment horizontal="right" vertical="center" indent="1"/>
    </xf>
  </cellXfs>
  <cellStyles count="4">
    <cellStyle name="Normal" xfId="0" builtinId="0"/>
    <cellStyle name="Normal_escala" xfId="3" xr:uid="{BDF008BE-6073-4130-9CA6-E8C6378D7964}"/>
    <cellStyle name="Normal_Hoja3" xfId="1" xr:uid="{71FC8F5B-96FE-4348-9FFC-CC01EDF33952}"/>
    <cellStyle name="Normal_Hoja4" xfId="2" xr:uid="{3FB49C71-2E40-4394-B532-645A9CACC4D4}"/>
  </cellStyles>
  <dxfs count="1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C0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CC"/>
      <color rgb="FF009A46"/>
      <color rgb="FF5A8B25"/>
      <color rgb="FFDBE5F1"/>
      <color rgb="FFCCFFCC"/>
      <color rgb="FFCAE8AA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AL7" lockText="1" noThreeD="1"/>
</file>

<file path=xl/ctrlProps/ctrlProp3.xml><?xml version="1.0" encoding="utf-8"?>
<formControlPr xmlns="http://schemas.microsoft.com/office/spreadsheetml/2009/9/main" objectType="CheckBox" fmlaLink="AL8" lockText="1" noThreeD="1"/>
</file>

<file path=xl/ctrlProps/ctrlProp4.xml><?xml version="1.0" encoding="utf-8"?>
<formControlPr xmlns="http://schemas.microsoft.com/office/spreadsheetml/2009/9/main" objectType="CheckBox" fmlaLink="AL9" lockText="1" noThreeD="1"/>
</file>

<file path=xl/ctrlProps/ctrlProp5.xml><?xml version="1.0" encoding="utf-8"?>
<formControlPr xmlns="http://schemas.microsoft.com/office/spreadsheetml/2009/9/main" objectType="CheckBox" fmlaLink="AL10" lockText="1" noThreeD="1"/>
</file>

<file path=xl/ctrlProps/ctrlProp6.xml><?xml version="1.0" encoding="utf-8"?>
<formControlPr xmlns="http://schemas.microsoft.com/office/spreadsheetml/2009/9/main" objectType="CheckBox" fmlaLink="AL11" lockText="1" noThreeD="1"/>
</file>

<file path=xl/ctrlProps/ctrlProp7.xml><?xml version="1.0" encoding="utf-8"?>
<formControlPr xmlns="http://schemas.microsoft.com/office/spreadsheetml/2009/9/main" objectType="CheckBox" fmlaLink="AL12" lockText="1" noThreeD="1"/>
</file>

<file path=xl/ctrlProps/ctrlProp8.xml><?xml version="1.0" encoding="utf-8"?>
<formControlPr xmlns="http://schemas.microsoft.com/office/spreadsheetml/2009/9/main" objectType="CheckBox" fmlaLink="AL13" lockText="1" noThreeD="1"/>
</file>

<file path=xl/ctrlProps/ctrlProp9.xml><?xml version="1.0" encoding="utf-8"?>
<formControlPr xmlns="http://schemas.microsoft.com/office/spreadsheetml/2009/9/main" objectType="CheckBox" fmlaLink="AL14" lockText="1" noThreeD="1"/>
</file>

<file path=xl/ctrlProps/ctrlProp10.xml><?xml version="1.0" encoding="utf-8"?>
<formControlPr xmlns="http://schemas.microsoft.com/office/spreadsheetml/2009/9/main" objectType="CheckBox" fmlaLink="AL15" lockText="1" noThreeD="1"/>
</file>

<file path=xl/ctrlProps/ctrlProp11.xml><?xml version="1.0" encoding="utf-8"?>
<formControlPr xmlns="http://schemas.microsoft.com/office/spreadsheetml/2009/9/main" objectType="CheckBox" fmlaLink="AL16" lockText="1" noThreeD="1"/>
</file>

<file path=xl/ctrlProps/ctrlProp12.xml><?xml version="1.0" encoding="utf-8"?>
<formControlPr xmlns="http://schemas.microsoft.com/office/spreadsheetml/2009/9/main" objectType="CheckBox" fmlaLink="AL17" lockText="1" noThreeD="1"/>
</file>

<file path=xl/ctrlProps/ctrlProp13.xml><?xml version="1.0" encoding="utf-8"?>
<formControlPr xmlns="http://schemas.microsoft.com/office/spreadsheetml/2009/9/main" objectType="CheckBox" fmlaLink="AL18" lockText="1" noThreeD="1"/>
</file>

<file path=xl/ctrlProps/ctrlProp14.xml><?xml version="1.0" encoding="utf-8"?>
<formControlPr xmlns="http://schemas.microsoft.com/office/spreadsheetml/2009/9/main" objectType="CheckBox" fmlaLink="AL19" lockText="1" noThreeD="1"/>
</file>

<file path=xl/ctrlProps/ctrlProp15.xml><?xml version="1.0" encoding="utf-8"?>
<formControlPr xmlns="http://schemas.microsoft.com/office/spreadsheetml/2009/9/main" objectType="CheckBox" fmlaLink="AL20" lockText="1" noThreeD="1"/>
</file>

<file path=xl/ctrlProps/ctrlProp16.xml><?xml version="1.0" encoding="utf-8"?>
<formControlPr xmlns="http://schemas.microsoft.com/office/spreadsheetml/2009/9/main" objectType="CheckBox" fmlaLink="AL21" lockText="1" noThreeD="1"/>
</file>

<file path=xl/ctrlProps/ctrlProp17.xml><?xml version="1.0" encoding="utf-8"?>
<formControlPr xmlns="http://schemas.microsoft.com/office/spreadsheetml/2009/9/main" objectType="CheckBox" fmlaLink="AL22" lockText="1" noThreeD="1"/>
</file>

<file path=xl/ctrlProps/ctrlProp18.xml><?xml version="1.0" encoding="utf-8"?>
<formControlPr xmlns="http://schemas.microsoft.com/office/spreadsheetml/2009/9/main" objectType="CheckBox" fmlaLink="AL23" lockText="1" noThreeD="1"/>
</file>

<file path=xl/ctrlProps/ctrlProp19.xml><?xml version="1.0" encoding="utf-8"?>
<formControlPr xmlns="http://schemas.microsoft.com/office/spreadsheetml/2009/9/main" objectType="CheckBox" fmlaLink="AL24" lockText="1" noThreeD="1"/>
</file>

<file path=xl/ctrlProps/ctrlProp20.xml><?xml version="1.0" encoding="utf-8"?>
<formControlPr xmlns="http://schemas.microsoft.com/office/spreadsheetml/2009/9/main" objectType="CheckBox" fmlaLink="AL25" lockText="1" noThreeD="1"/>
</file>

<file path=xl/ctrlProps/ctrlProp21.xml><?xml version="1.0" encoding="utf-8"?>
<formControlPr xmlns="http://schemas.microsoft.com/office/spreadsheetml/2009/9/main" objectType="CheckBox" fmlaLink="AL26" lockText="1" noThreeD="1"/>
</file>

<file path=xl/ctrlProps/ctrlProp22.xml><?xml version="1.0" encoding="utf-8"?>
<formControlPr xmlns="http://schemas.microsoft.com/office/spreadsheetml/2009/9/main" objectType="CheckBox" fmlaLink="AL27" lockText="1" noThreeD="1"/>
</file>

<file path=xl/ctrlProps/ctrlProp23.xml><?xml version="1.0" encoding="utf-8"?>
<formControlPr xmlns="http://schemas.microsoft.com/office/spreadsheetml/2009/9/main" objectType="CheckBox" fmlaLink="AL28" lockText="1" noThreeD="1"/>
</file>

<file path=xl/ctrlProps/ctrlProp24.xml><?xml version="1.0" encoding="utf-8"?>
<formControlPr xmlns="http://schemas.microsoft.com/office/spreadsheetml/2009/9/main" objectType="CheckBox" fmlaLink="AL29" lockText="1" noThreeD="1"/>
</file>

<file path=xl/ctrlProps/ctrlProp25.xml><?xml version="1.0" encoding="utf-8"?>
<formControlPr xmlns="http://schemas.microsoft.com/office/spreadsheetml/2009/9/main" objectType="CheckBox" fmlaLink="AL30" lockText="1" noThreeD="1"/>
</file>

<file path=xl/ctrlProps/ctrlProp26.xml><?xml version="1.0" encoding="utf-8"?>
<formControlPr xmlns="http://schemas.microsoft.com/office/spreadsheetml/2009/9/main" objectType="CheckBox" fmlaLink="AL31" lockText="1" noThreeD="1"/>
</file>

<file path=xl/ctrlProps/ctrlProp27.xml><?xml version="1.0" encoding="utf-8"?>
<formControlPr xmlns="http://schemas.microsoft.com/office/spreadsheetml/2009/9/main" objectType="CheckBox" fmlaLink="AL32" lockText="1" noThreeD="1"/>
</file>

<file path=xl/ctrlProps/ctrlProp28.xml><?xml version="1.0" encoding="utf-8"?>
<formControlPr xmlns="http://schemas.microsoft.com/office/spreadsheetml/2009/9/main" objectType="CheckBox" fmlaLink="AL33" lockText="1" noThreeD="1"/>
</file>

<file path=xl/ctrlProps/ctrlProp29.xml><?xml version="1.0" encoding="utf-8"?>
<formControlPr xmlns="http://schemas.microsoft.com/office/spreadsheetml/2009/9/main" objectType="CheckBox" fmlaLink="AL34" lockText="1" noThreeD="1"/>
</file>

<file path=xl/ctrlProps/ctrlProp30.xml><?xml version="1.0" encoding="utf-8"?>
<formControlPr xmlns="http://schemas.microsoft.com/office/spreadsheetml/2009/9/main" objectType="CheckBox" fmlaLink="AL35" lockText="1" noThreeD="1"/>
</file>

<file path=xl/ctrlProps/ctrlProp31.xml><?xml version="1.0" encoding="utf-8"?>
<formControlPr xmlns="http://schemas.microsoft.com/office/spreadsheetml/2009/9/main" objectType="CheckBox" fmlaLink="AL36" lockText="1" noThreeD="1"/>
</file>

<file path=xl/ctrlProps/ctrlProp32.xml><?xml version="1.0" encoding="utf-8"?>
<formControlPr xmlns="http://schemas.microsoft.com/office/spreadsheetml/2009/9/main" objectType="CheckBox" fmlaLink="AL37" lockText="1" noThreeD="1"/>
</file>

<file path=xl/ctrlProps/ctrlProp33.xml><?xml version="1.0" encoding="utf-8"?>
<formControlPr xmlns="http://schemas.microsoft.com/office/spreadsheetml/2009/9/main" objectType="CheckBox" fmlaLink="AL38" lockText="1" noThreeD="1"/>
</file>

<file path=xl/ctrlProps/ctrlProp34.xml><?xml version="1.0" encoding="utf-8"?>
<formControlPr xmlns="http://schemas.microsoft.com/office/spreadsheetml/2009/9/main" objectType="CheckBox" fmlaLink="AL39" lockText="1" noThreeD="1"/>
</file>

<file path=xl/ctrlProps/ctrlProp35.xml><?xml version="1.0" encoding="utf-8"?>
<formControlPr xmlns="http://schemas.microsoft.com/office/spreadsheetml/2009/9/main" objectType="CheckBox" fmlaLink="AL40" lockText="1" noThreeD="1"/>
</file>

<file path=xl/ctrlProps/ctrlProp36.xml><?xml version="1.0" encoding="utf-8"?>
<formControlPr xmlns="http://schemas.microsoft.com/office/spreadsheetml/2009/9/main" objectType="CheckBox" fmlaLink="AL41" lockText="1" noThreeD="1"/>
</file>

<file path=xl/ctrlProps/ctrlProp37.xml><?xml version="1.0" encoding="utf-8"?>
<formControlPr xmlns="http://schemas.microsoft.com/office/spreadsheetml/2009/9/main" objectType="CheckBox" fmlaLink="AL42" lockText="1" noThreeD="1"/>
</file>

<file path=xl/ctrlProps/ctrlProp38.xml><?xml version="1.0" encoding="utf-8"?>
<formControlPr xmlns="http://schemas.microsoft.com/office/spreadsheetml/2009/9/main" objectType="CheckBox" fmlaLink="AL43" lockText="1" noThreeD="1"/>
</file>

<file path=xl/ctrlProps/ctrlProp39.xml><?xml version="1.0" encoding="utf-8"?>
<formControlPr xmlns="http://schemas.microsoft.com/office/spreadsheetml/2009/9/main" objectType="CheckBox" fmlaLink="AL44" lockText="1" noThreeD="1"/>
</file>

<file path=xl/ctrlProps/ctrlProp40.xml><?xml version="1.0" encoding="utf-8"?>
<formControlPr xmlns="http://schemas.microsoft.com/office/spreadsheetml/2009/9/main" objectType="CheckBox" fmlaLink="AL45" lockText="1" noThreeD="1"/>
</file>

<file path=xl/ctrlProps/ctrlProp41.xml><?xml version="1.0" encoding="utf-8"?>
<formControlPr xmlns="http://schemas.microsoft.com/office/spreadsheetml/2009/9/main" objectType="CheckBox" fmlaLink="AL46" lockText="1" noThreeD="1"/>
</file>

<file path=xl/ctrlProps/ctrlProp42.xml><?xml version="1.0" encoding="utf-8"?>
<formControlPr xmlns="http://schemas.microsoft.com/office/spreadsheetml/2009/9/main" objectType="CheckBox" fmlaLink="AL47" lockText="1" noThreeD="1"/>
</file>

<file path=xl/ctrlProps/ctrlProp43.xml><?xml version="1.0" encoding="utf-8"?>
<formControlPr xmlns="http://schemas.microsoft.com/office/spreadsheetml/2009/9/main" objectType="CheckBox" fmlaLink="AL48" lockText="1" noThreeD="1"/>
</file>

<file path=xl/ctrlProps/ctrlProp44.xml><?xml version="1.0" encoding="utf-8"?>
<formControlPr xmlns="http://schemas.microsoft.com/office/spreadsheetml/2009/9/main" objectType="CheckBox" fmlaLink="AL49" lockText="1" noThreeD="1"/>
</file>

<file path=xl/ctrlProps/ctrlProp45.xml><?xml version="1.0" encoding="utf-8"?>
<formControlPr xmlns="http://schemas.microsoft.com/office/spreadsheetml/2009/9/main" objectType="CheckBox" fmlaLink="AL50" lockText="1" noThreeD="1"/>
</file>

<file path=xl/ctrlProps/ctrlProp46.xml><?xml version="1.0" encoding="utf-8"?>
<formControlPr xmlns="http://schemas.microsoft.com/office/spreadsheetml/2009/9/main" objectType="CheckBox" fmlaLink="AL51" lockText="1" noThreeD="1"/>
</file>

<file path=xl/ctrlProps/ctrlProp47.xml><?xml version="1.0" encoding="utf-8"?>
<formControlPr xmlns="http://schemas.microsoft.com/office/spreadsheetml/2009/9/main" objectType="CheckBox" fmlaLink="AL52" lockText="1" noThreeD="1"/>
</file>

<file path=xl/ctrlProps/ctrlProp48.xml><?xml version="1.0" encoding="utf-8"?>
<formControlPr xmlns="http://schemas.microsoft.com/office/spreadsheetml/2009/9/main" objectType="CheckBox" fmlaLink="AL53" lockText="1" noThreeD="1"/>
</file>

<file path=xl/ctrlProps/ctrlProp49.xml><?xml version="1.0" encoding="utf-8"?>
<formControlPr xmlns="http://schemas.microsoft.com/office/spreadsheetml/2009/9/main" objectType="CheckBox" fmlaLink="AL54" lockText="1" noThreeD="1"/>
</file>

<file path=xl/ctrlProps/ctrlProp50.xml><?xml version="1.0" encoding="utf-8"?>
<formControlPr xmlns="http://schemas.microsoft.com/office/spreadsheetml/2009/9/main" objectType="CheckBox" fmlaLink="AL55" lockText="1" noThreeD="1"/>
</file>

<file path=xl/ctrlProps/ctrlProp51.xml><?xml version="1.0" encoding="utf-8"?>
<formControlPr xmlns="http://schemas.microsoft.com/office/spreadsheetml/2009/9/main" objectType="CheckBox" fmlaLink="AL56" lockText="1" noThreeD="1"/>
</file>

<file path=xl/ctrlProps/ctrlProp52.xml><?xml version="1.0" encoding="utf-8"?>
<formControlPr xmlns="http://schemas.microsoft.com/office/spreadsheetml/2009/9/main" objectType="CheckBox" fmlaLink="AL57" lockText="1" noThreeD="1"/>
</file>

<file path=xl/ctrlProps/ctrlProp53.xml><?xml version="1.0" encoding="utf-8"?>
<formControlPr xmlns="http://schemas.microsoft.com/office/spreadsheetml/2009/9/main" objectType="CheckBox" fmlaLink="AL58" lockText="1" noThreeD="1"/>
</file>

<file path=xl/ctrlProps/ctrlProp54.xml><?xml version="1.0" encoding="utf-8"?>
<formControlPr xmlns="http://schemas.microsoft.com/office/spreadsheetml/2009/9/main" objectType="CheckBox" fmlaLink="AL59" lockText="1" noThreeD="1"/>
</file>

<file path=xl/ctrlProps/ctrlProp55.xml><?xml version="1.0" encoding="utf-8"?>
<formControlPr xmlns="http://schemas.microsoft.com/office/spreadsheetml/2009/9/main" objectType="CheckBox" fmlaLink="AL60" lockText="1" noThreeD="1"/>
</file>

<file path=xl/ctrlProps/ctrlProp56.xml><?xml version="1.0" encoding="utf-8"?>
<formControlPr xmlns="http://schemas.microsoft.com/office/spreadsheetml/2009/9/main" objectType="CheckBox" fmlaLink="AL61" lockText="1" noThreeD="1"/>
</file>

<file path=xl/ctrlProps/ctrlProp57.xml><?xml version="1.0" encoding="utf-8"?>
<formControlPr xmlns="http://schemas.microsoft.com/office/spreadsheetml/2009/9/main" objectType="CheckBox" fmlaLink="AL62" lockText="1" noThreeD="1"/>
</file>

<file path=xl/ctrlProps/ctrlProp58.xml><?xml version="1.0" encoding="utf-8"?>
<formControlPr xmlns="http://schemas.microsoft.com/office/spreadsheetml/2009/9/main" objectType="CheckBox" fmlaLink="AL63" lockText="1" noThreeD="1"/>
</file>

<file path=xl/ctrlProps/ctrlProp59.xml><?xml version="1.0" encoding="utf-8"?>
<formControlPr xmlns="http://schemas.microsoft.com/office/spreadsheetml/2009/9/main" objectType="CheckBox" fmlaLink="AL64" lockText="1" noThreeD="1"/>
</file>

<file path=xl/ctrlProps/ctrlProp60.xml><?xml version="1.0" encoding="utf-8"?>
<formControlPr xmlns="http://schemas.microsoft.com/office/spreadsheetml/2009/9/main" objectType="CheckBox" fmlaLink="AL65" lockText="1" noThreeD="1"/>
</file>

<file path=xl/ctrlProps/ctrlProp61.xml><?xml version="1.0" encoding="utf-8"?>
<formControlPr xmlns="http://schemas.microsoft.com/office/spreadsheetml/2009/9/main" objectType="CheckBox" fmlaLink="AL66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3248025</xdr:colOff>
          <xdr:row>5</xdr:row>
          <xdr:rowOff>19050</xdr:rowOff>
        </xdr:from>
        <xdr:to>
          <xdr:col>2</xdr:col>
          <xdr:colOff>1276350</xdr:colOff>
          <xdr:row>5</xdr:row>
          <xdr:rowOff>323850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grupo</a:t>
              </a:r>
            </a:p>
            <a:p>
              <a:pPr algn="ctr" rtl="0">
                <a:defRPr sz="1000"/>
              </a:pPr>
              <a:endParaRPr lang="es-C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853109</xdr:rowOff>
    </xdr:from>
    <xdr:to>
      <xdr:col>2</xdr:col>
      <xdr:colOff>1379533</xdr:colOff>
      <xdr:row>5</xdr:row>
      <xdr:rowOff>1217854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4B69205-6D65-677D-F263-A661B4AE0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06826"/>
          <a:ext cx="5429729" cy="3647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</xdr:row>
          <xdr:rowOff>38100</xdr:rowOff>
        </xdr:from>
        <xdr:to>
          <xdr:col>37</xdr:col>
          <xdr:colOff>323850</xdr:colOff>
          <xdr:row>6</xdr:row>
          <xdr:rowOff>257175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7</xdr:row>
          <xdr:rowOff>38100</xdr:rowOff>
        </xdr:from>
        <xdr:to>
          <xdr:col>37</xdr:col>
          <xdr:colOff>323850</xdr:colOff>
          <xdr:row>7</xdr:row>
          <xdr:rowOff>257175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8</xdr:row>
          <xdr:rowOff>38100</xdr:rowOff>
        </xdr:from>
        <xdr:to>
          <xdr:col>37</xdr:col>
          <xdr:colOff>323850</xdr:colOff>
          <xdr:row>8</xdr:row>
          <xdr:rowOff>257175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9</xdr:row>
          <xdr:rowOff>38100</xdr:rowOff>
        </xdr:from>
        <xdr:to>
          <xdr:col>37</xdr:col>
          <xdr:colOff>323850</xdr:colOff>
          <xdr:row>9</xdr:row>
          <xdr:rowOff>257175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10</xdr:row>
          <xdr:rowOff>38100</xdr:rowOff>
        </xdr:from>
        <xdr:to>
          <xdr:col>37</xdr:col>
          <xdr:colOff>323850</xdr:colOff>
          <xdr:row>10</xdr:row>
          <xdr:rowOff>257175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11</xdr:row>
          <xdr:rowOff>38100</xdr:rowOff>
        </xdr:from>
        <xdr:to>
          <xdr:col>37</xdr:col>
          <xdr:colOff>323850</xdr:colOff>
          <xdr:row>11</xdr:row>
          <xdr:rowOff>257175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12</xdr:row>
          <xdr:rowOff>38100</xdr:rowOff>
        </xdr:from>
        <xdr:to>
          <xdr:col>37</xdr:col>
          <xdr:colOff>323850</xdr:colOff>
          <xdr:row>12</xdr:row>
          <xdr:rowOff>257175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13</xdr:row>
          <xdr:rowOff>38100</xdr:rowOff>
        </xdr:from>
        <xdr:to>
          <xdr:col>37</xdr:col>
          <xdr:colOff>323850</xdr:colOff>
          <xdr:row>13</xdr:row>
          <xdr:rowOff>257175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14</xdr:row>
          <xdr:rowOff>38100</xdr:rowOff>
        </xdr:from>
        <xdr:to>
          <xdr:col>37</xdr:col>
          <xdr:colOff>323850</xdr:colOff>
          <xdr:row>14</xdr:row>
          <xdr:rowOff>257175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15</xdr:row>
          <xdr:rowOff>38100</xdr:rowOff>
        </xdr:from>
        <xdr:to>
          <xdr:col>37</xdr:col>
          <xdr:colOff>323850</xdr:colOff>
          <xdr:row>15</xdr:row>
          <xdr:rowOff>257175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16</xdr:row>
          <xdr:rowOff>38100</xdr:rowOff>
        </xdr:from>
        <xdr:to>
          <xdr:col>37</xdr:col>
          <xdr:colOff>323850</xdr:colOff>
          <xdr:row>16</xdr:row>
          <xdr:rowOff>257175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17</xdr:row>
          <xdr:rowOff>38100</xdr:rowOff>
        </xdr:from>
        <xdr:to>
          <xdr:col>37</xdr:col>
          <xdr:colOff>323850</xdr:colOff>
          <xdr:row>17</xdr:row>
          <xdr:rowOff>257175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18</xdr:row>
          <xdr:rowOff>38100</xdr:rowOff>
        </xdr:from>
        <xdr:to>
          <xdr:col>37</xdr:col>
          <xdr:colOff>323850</xdr:colOff>
          <xdr:row>18</xdr:row>
          <xdr:rowOff>257175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19</xdr:row>
          <xdr:rowOff>38100</xdr:rowOff>
        </xdr:from>
        <xdr:to>
          <xdr:col>37</xdr:col>
          <xdr:colOff>323850</xdr:colOff>
          <xdr:row>19</xdr:row>
          <xdr:rowOff>257175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20</xdr:row>
          <xdr:rowOff>38100</xdr:rowOff>
        </xdr:from>
        <xdr:to>
          <xdr:col>37</xdr:col>
          <xdr:colOff>323850</xdr:colOff>
          <xdr:row>20</xdr:row>
          <xdr:rowOff>257175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21</xdr:row>
          <xdr:rowOff>38100</xdr:rowOff>
        </xdr:from>
        <xdr:to>
          <xdr:col>37</xdr:col>
          <xdr:colOff>323850</xdr:colOff>
          <xdr:row>21</xdr:row>
          <xdr:rowOff>257175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22</xdr:row>
          <xdr:rowOff>38100</xdr:rowOff>
        </xdr:from>
        <xdr:to>
          <xdr:col>37</xdr:col>
          <xdr:colOff>323850</xdr:colOff>
          <xdr:row>22</xdr:row>
          <xdr:rowOff>257175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23</xdr:row>
          <xdr:rowOff>38100</xdr:rowOff>
        </xdr:from>
        <xdr:to>
          <xdr:col>37</xdr:col>
          <xdr:colOff>323850</xdr:colOff>
          <xdr:row>23</xdr:row>
          <xdr:rowOff>257175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24</xdr:row>
          <xdr:rowOff>38100</xdr:rowOff>
        </xdr:from>
        <xdr:to>
          <xdr:col>37</xdr:col>
          <xdr:colOff>323850</xdr:colOff>
          <xdr:row>24</xdr:row>
          <xdr:rowOff>257175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25</xdr:row>
          <xdr:rowOff>38100</xdr:rowOff>
        </xdr:from>
        <xdr:to>
          <xdr:col>37</xdr:col>
          <xdr:colOff>323850</xdr:colOff>
          <xdr:row>25</xdr:row>
          <xdr:rowOff>257175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26</xdr:row>
          <xdr:rowOff>38100</xdr:rowOff>
        </xdr:from>
        <xdr:to>
          <xdr:col>37</xdr:col>
          <xdr:colOff>323850</xdr:colOff>
          <xdr:row>26</xdr:row>
          <xdr:rowOff>257175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27</xdr:row>
          <xdr:rowOff>38100</xdr:rowOff>
        </xdr:from>
        <xdr:to>
          <xdr:col>37</xdr:col>
          <xdr:colOff>323850</xdr:colOff>
          <xdr:row>27</xdr:row>
          <xdr:rowOff>257175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28</xdr:row>
          <xdr:rowOff>38100</xdr:rowOff>
        </xdr:from>
        <xdr:to>
          <xdr:col>37</xdr:col>
          <xdr:colOff>323850</xdr:colOff>
          <xdr:row>28</xdr:row>
          <xdr:rowOff>257175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29</xdr:row>
          <xdr:rowOff>38100</xdr:rowOff>
        </xdr:from>
        <xdr:to>
          <xdr:col>37</xdr:col>
          <xdr:colOff>323850</xdr:colOff>
          <xdr:row>29</xdr:row>
          <xdr:rowOff>257175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30</xdr:row>
          <xdr:rowOff>38100</xdr:rowOff>
        </xdr:from>
        <xdr:to>
          <xdr:col>37</xdr:col>
          <xdr:colOff>323850</xdr:colOff>
          <xdr:row>30</xdr:row>
          <xdr:rowOff>257175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31</xdr:row>
          <xdr:rowOff>38100</xdr:rowOff>
        </xdr:from>
        <xdr:to>
          <xdr:col>37</xdr:col>
          <xdr:colOff>323850</xdr:colOff>
          <xdr:row>31</xdr:row>
          <xdr:rowOff>257175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32</xdr:row>
          <xdr:rowOff>38100</xdr:rowOff>
        </xdr:from>
        <xdr:to>
          <xdr:col>37</xdr:col>
          <xdr:colOff>323850</xdr:colOff>
          <xdr:row>32</xdr:row>
          <xdr:rowOff>257175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33</xdr:row>
          <xdr:rowOff>38100</xdr:rowOff>
        </xdr:from>
        <xdr:to>
          <xdr:col>37</xdr:col>
          <xdr:colOff>323850</xdr:colOff>
          <xdr:row>33</xdr:row>
          <xdr:rowOff>257175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34</xdr:row>
          <xdr:rowOff>38100</xdr:rowOff>
        </xdr:from>
        <xdr:to>
          <xdr:col>37</xdr:col>
          <xdr:colOff>323850</xdr:colOff>
          <xdr:row>34</xdr:row>
          <xdr:rowOff>257175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35</xdr:row>
          <xdr:rowOff>38100</xdr:rowOff>
        </xdr:from>
        <xdr:to>
          <xdr:col>37</xdr:col>
          <xdr:colOff>323850</xdr:colOff>
          <xdr:row>35</xdr:row>
          <xdr:rowOff>257175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36</xdr:row>
          <xdr:rowOff>38100</xdr:rowOff>
        </xdr:from>
        <xdr:to>
          <xdr:col>37</xdr:col>
          <xdr:colOff>323850</xdr:colOff>
          <xdr:row>36</xdr:row>
          <xdr:rowOff>257175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37</xdr:row>
          <xdr:rowOff>38100</xdr:rowOff>
        </xdr:from>
        <xdr:to>
          <xdr:col>37</xdr:col>
          <xdr:colOff>323850</xdr:colOff>
          <xdr:row>37</xdr:row>
          <xdr:rowOff>257175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38</xdr:row>
          <xdr:rowOff>38100</xdr:rowOff>
        </xdr:from>
        <xdr:to>
          <xdr:col>37</xdr:col>
          <xdr:colOff>323850</xdr:colOff>
          <xdr:row>38</xdr:row>
          <xdr:rowOff>257175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39</xdr:row>
          <xdr:rowOff>38100</xdr:rowOff>
        </xdr:from>
        <xdr:to>
          <xdr:col>37</xdr:col>
          <xdr:colOff>323850</xdr:colOff>
          <xdr:row>39</xdr:row>
          <xdr:rowOff>257175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40</xdr:row>
          <xdr:rowOff>38100</xdr:rowOff>
        </xdr:from>
        <xdr:to>
          <xdr:col>37</xdr:col>
          <xdr:colOff>323850</xdr:colOff>
          <xdr:row>40</xdr:row>
          <xdr:rowOff>257175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41</xdr:row>
          <xdr:rowOff>38100</xdr:rowOff>
        </xdr:from>
        <xdr:to>
          <xdr:col>37</xdr:col>
          <xdr:colOff>323850</xdr:colOff>
          <xdr:row>41</xdr:row>
          <xdr:rowOff>257175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42</xdr:row>
          <xdr:rowOff>38100</xdr:rowOff>
        </xdr:from>
        <xdr:to>
          <xdr:col>37</xdr:col>
          <xdr:colOff>323850</xdr:colOff>
          <xdr:row>42</xdr:row>
          <xdr:rowOff>257175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43</xdr:row>
          <xdr:rowOff>38100</xdr:rowOff>
        </xdr:from>
        <xdr:to>
          <xdr:col>37</xdr:col>
          <xdr:colOff>323850</xdr:colOff>
          <xdr:row>43</xdr:row>
          <xdr:rowOff>257175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44</xdr:row>
          <xdr:rowOff>38100</xdr:rowOff>
        </xdr:from>
        <xdr:to>
          <xdr:col>37</xdr:col>
          <xdr:colOff>323850</xdr:colOff>
          <xdr:row>44</xdr:row>
          <xdr:rowOff>257175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45</xdr:row>
          <xdr:rowOff>38100</xdr:rowOff>
        </xdr:from>
        <xdr:to>
          <xdr:col>37</xdr:col>
          <xdr:colOff>323850</xdr:colOff>
          <xdr:row>45</xdr:row>
          <xdr:rowOff>257175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46</xdr:row>
          <xdr:rowOff>38100</xdr:rowOff>
        </xdr:from>
        <xdr:to>
          <xdr:col>37</xdr:col>
          <xdr:colOff>323850</xdr:colOff>
          <xdr:row>46</xdr:row>
          <xdr:rowOff>257175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47</xdr:row>
          <xdr:rowOff>38100</xdr:rowOff>
        </xdr:from>
        <xdr:to>
          <xdr:col>37</xdr:col>
          <xdr:colOff>323850</xdr:colOff>
          <xdr:row>47</xdr:row>
          <xdr:rowOff>257175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48</xdr:row>
          <xdr:rowOff>38100</xdr:rowOff>
        </xdr:from>
        <xdr:to>
          <xdr:col>37</xdr:col>
          <xdr:colOff>323850</xdr:colOff>
          <xdr:row>48</xdr:row>
          <xdr:rowOff>257175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49</xdr:row>
          <xdr:rowOff>38100</xdr:rowOff>
        </xdr:from>
        <xdr:to>
          <xdr:col>37</xdr:col>
          <xdr:colOff>323850</xdr:colOff>
          <xdr:row>49</xdr:row>
          <xdr:rowOff>257175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50</xdr:row>
          <xdr:rowOff>38100</xdr:rowOff>
        </xdr:from>
        <xdr:to>
          <xdr:col>37</xdr:col>
          <xdr:colOff>323850</xdr:colOff>
          <xdr:row>50</xdr:row>
          <xdr:rowOff>257175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51</xdr:row>
          <xdr:rowOff>38100</xdr:rowOff>
        </xdr:from>
        <xdr:to>
          <xdr:col>37</xdr:col>
          <xdr:colOff>323850</xdr:colOff>
          <xdr:row>51</xdr:row>
          <xdr:rowOff>257175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52</xdr:row>
          <xdr:rowOff>38100</xdr:rowOff>
        </xdr:from>
        <xdr:to>
          <xdr:col>37</xdr:col>
          <xdr:colOff>323850</xdr:colOff>
          <xdr:row>52</xdr:row>
          <xdr:rowOff>257175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53</xdr:row>
          <xdr:rowOff>38100</xdr:rowOff>
        </xdr:from>
        <xdr:to>
          <xdr:col>37</xdr:col>
          <xdr:colOff>323850</xdr:colOff>
          <xdr:row>53</xdr:row>
          <xdr:rowOff>257175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54</xdr:row>
          <xdr:rowOff>38100</xdr:rowOff>
        </xdr:from>
        <xdr:to>
          <xdr:col>37</xdr:col>
          <xdr:colOff>323850</xdr:colOff>
          <xdr:row>54</xdr:row>
          <xdr:rowOff>257175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55</xdr:row>
          <xdr:rowOff>38100</xdr:rowOff>
        </xdr:from>
        <xdr:to>
          <xdr:col>37</xdr:col>
          <xdr:colOff>323850</xdr:colOff>
          <xdr:row>55</xdr:row>
          <xdr:rowOff>257175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56</xdr:row>
          <xdr:rowOff>38100</xdr:rowOff>
        </xdr:from>
        <xdr:to>
          <xdr:col>37</xdr:col>
          <xdr:colOff>323850</xdr:colOff>
          <xdr:row>56</xdr:row>
          <xdr:rowOff>257175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57</xdr:row>
          <xdr:rowOff>38100</xdr:rowOff>
        </xdr:from>
        <xdr:to>
          <xdr:col>37</xdr:col>
          <xdr:colOff>323850</xdr:colOff>
          <xdr:row>57</xdr:row>
          <xdr:rowOff>257175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58</xdr:row>
          <xdr:rowOff>38100</xdr:rowOff>
        </xdr:from>
        <xdr:to>
          <xdr:col>37</xdr:col>
          <xdr:colOff>323850</xdr:colOff>
          <xdr:row>58</xdr:row>
          <xdr:rowOff>257175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59</xdr:row>
          <xdr:rowOff>38100</xdr:rowOff>
        </xdr:from>
        <xdr:to>
          <xdr:col>37</xdr:col>
          <xdr:colOff>323850</xdr:colOff>
          <xdr:row>59</xdr:row>
          <xdr:rowOff>257175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60</xdr:row>
          <xdr:rowOff>38100</xdr:rowOff>
        </xdr:from>
        <xdr:to>
          <xdr:col>37</xdr:col>
          <xdr:colOff>323850</xdr:colOff>
          <xdr:row>60</xdr:row>
          <xdr:rowOff>257175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61</xdr:row>
          <xdr:rowOff>38100</xdr:rowOff>
        </xdr:from>
        <xdr:to>
          <xdr:col>37</xdr:col>
          <xdr:colOff>323850</xdr:colOff>
          <xdr:row>61</xdr:row>
          <xdr:rowOff>257175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62</xdr:row>
          <xdr:rowOff>38100</xdr:rowOff>
        </xdr:from>
        <xdr:to>
          <xdr:col>37</xdr:col>
          <xdr:colOff>323850</xdr:colOff>
          <xdr:row>62</xdr:row>
          <xdr:rowOff>257175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63</xdr:row>
          <xdr:rowOff>38100</xdr:rowOff>
        </xdr:from>
        <xdr:to>
          <xdr:col>37</xdr:col>
          <xdr:colOff>323850</xdr:colOff>
          <xdr:row>63</xdr:row>
          <xdr:rowOff>257175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64</xdr:row>
          <xdr:rowOff>38100</xdr:rowOff>
        </xdr:from>
        <xdr:to>
          <xdr:col>37</xdr:col>
          <xdr:colOff>323850</xdr:colOff>
          <xdr:row>64</xdr:row>
          <xdr:rowOff>257175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65</xdr:row>
          <xdr:rowOff>38100</xdr:rowOff>
        </xdr:from>
        <xdr:to>
          <xdr:col>37</xdr:col>
          <xdr:colOff>323850</xdr:colOff>
          <xdr:row>65</xdr:row>
          <xdr:rowOff>257175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L67"/>
  <sheetViews>
    <sheetView showGridLines="0" tabSelected="1" zoomScale="115" zoomScaleNormal="115" workbookViewId="0">
      <pane xSplit="5" ySplit="6" topLeftCell="F7" activePane="bottomRight" state="frozen"/>
      <selection pane="topRight" activeCell="E1" sqref="E1"/>
      <selection pane="bottomLeft" activeCell="A10" sqref="A10"/>
      <selection pane="bottomRight"/>
    </sheetView>
  </sheetViews>
  <sheetFormatPr baseColWidth="10" defaultColWidth="11.42578125" defaultRowHeight="8.25" customHeight="1" x14ac:dyDescent="0.25"/>
  <cols>
    <col min="1" max="1" width="5.42578125" style="10" customWidth="1"/>
    <col min="2" max="2" width="55.28515625" style="9" customWidth="1"/>
    <col min="3" max="3" width="20.85546875" style="10" customWidth="1"/>
    <col min="4" max="4" width="7.140625" style="9" customWidth="1"/>
    <col min="5" max="5" width="7.140625" style="10" customWidth="1"/>
    <col min="6" max="35" width="7" style="9" customWidth="1"/>
    <col min="36" max="37" width="7.85546875" style="9" customWidth="1"/>
    <col min="38" max="38" width="6" style="9" bestFit="1" customWidth="1"/>
    <col min="39" max="39" width="11.42578125" style="9" customWidth="1"/>
    <col min="40" max="16384" width="11.42578125" style="9"/>
  </cols>
  <sheetData>
    <row r="1" spans="1:38" ht="25.5" hidden="1" customHeight="1" x14ac:dyDescent="0.3">
      <c r="A1" s="55" t="s">
        <v>39</v>
      </c>
      <c r="B1" s="53"/>
      <c r="C1" s="53"/>
      <c r="E1" s="9"/>
    </row>
    <row r="2" spans="1:38" ht="26.25" customHeight="1" x14ac:dyDescent="0.55000000000000004">
      <c r="A2" s="53"/>
      <c r="B2" s="56" t="str">
        <f ca="1">UPPER(Eval!F2 &amp;" DE " &amp;Eval!B2 &amp; " - " &amp; IF(MONTH(TODAY())&lt;8,"Primer Semestre ", "Segundo Semestre ") &amp; YEAR(TODAY()))</f>
        <v xml:space="preserve"> DE  - SEGUNDO SEMESTRE 2024</v>
      </c>
      <c r="C2" s="53"/>
      <c r="D2" s="11"/>
      <c r="E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12"/>
    </row>
    <row r="3" spans="1:38" ht="7.5" customHeight="1" x14ac:dyDescent="0.25">
      <c r="G3" s="16"/>
    </row>
    <row r="4" spans="1:38" ht="12" customHeight="1" x14ac:dyDescent="0.3">
      <c r="C4" s="57" t="s">
        <v>0</v>
      </c>
      <c r="D4" s="57"/>
      <c r="E4" s="58"/>
      <c r="F4" s="20" t="str" cm="1">
        <f t="array" aca="1" ref="F4:G6" ca="1">TRANSPOSE(INDIRECT("datos!C2:E"&amp;datos!L2+1))</f>
        <v>puntaje</v>
      </c>
      <c r="G4" s="21" t="str">
        <f ca="1"/>
        <v/>
      </c>
      <c r="H4" s="21"/>
      <c r="I4" s="21"/>
      <c r="J4" s="20"/>
      <c r="K4" s="21"/>
      <c r="L4" s="21"/>
      <c r="M4" s="21"/>
      <c r="N4" s="20"/>
      <c r="O4" s="21"/>
      <c r="P4" s="21"/>
      <c r="Q4" s="21"/>
      <c r="R4" s="20"/>
      <c r="S4" s="21"/>
      <c r="T4" s="21"/>
      <c r="U4" s="21"/>
      <c r="V4" s="20"/>
      <c r="W4" s="21"/>
      <c r="X4" s="21"/>
      <c r="Y4" s="21"/>
      <c r="Z4" s="20"/>
      <c r="AA4" s="21"/>
      <c r="AB4" s="21"/>
      <c r="AC4" s="21"/>
      <c r="AD4" s="20"/>
      <c r="AE4" s="21"/>
      <c r="AF4" s="21"/>
      <c r="AG4" s="21"/>
      <c r="AH4" s="20"/>
      <c r="AI4" s="21"/>
      <c r="AJ4" s="22">
        <f ca="1">SUM(F4:AI4)</f>
        <v>0</v>
      </c>
      <c r="AK4" s="23">
        <f ca="1">60-COUNTBLANK(F5:AI5)</f>
        <v>31</v>
      </c>
      <c r="AL4" s="24"/>
    </row>
    <row r="5" spans="1:38" ht="15.75" customHeight="1" x14ac:dyDescent="0.3">
      <c r="A5" s="13"/>
      <c r="B5" s="14"/>
      <c r="C5" s="57" t="s">
        <v>1</v>
      </c>
      <c r="D5" s="57"/>
      <c r="E5" s="58"/>
      <c r="F5" s="46" t="str">
        <f ca="1"/>
        <v>item_num</v>
      </c>
      <c r="G5" s="47" t="str">
        <f ca="1"/>
        <v/>
      </c>
      <c r="H5" s="47"/>
      <c r="I5" s="47"/>
      <c r="J5" s="46"/>
      <c r="K5" s="47"/>
      <c r="L5" s="47"/>
      <c r="M5" s="47"/>
      <c r="N5" s="46"/>
      <c r="O5" s="47"/>
      <c r="P5" s="47"/>
      <c r="Q5" s="47"/>
      <c r="R5" s="46"/>
      <c r="S5" s="47"/>
      <c r="T5" s="47"/>
      <c r="U5" s="47"/>
      <c r="V5" s="46"/>
      <c r="W5" s="47"/>
      <c r="X5" s="47"/>
      <c r="Y5" s="47"/>
      <c r="Z5" s="46"/>
      <c r="AA5" s="47"/>
      <c r="AB5" s="47"/>
      <c r="AC5" s="47"/>
      <c r="AD5" s="46"/>
      <c r="AE5" s="47"/>
      <c r="AF5" s="47"/>
      <c r="AG5" s="47"/>
      <c r="AH5" s="46"/>
      <c r="AI5" s="47"/>
      <c r="AJ5" s="25"/>
      <c r="AK5" s="25"/>
      <c r="AL5" s="24"/>
    </row>
    <row r="6" spans="1:38" ht="96.75" customHeight="1" x14ac:dyDescent="0.3">
      <c r="A6" s="39"/>
      <c r="B6" s="39"/>
      <c r="C6"/>
      <c r="D6" s="40" t="s">
        <v>40</v>
      </c>
      <c r="E6" s="41" t="s">
        <v>41</v>
      </c>
      <c r="F6" s="38" t="str">
        <f ca="1"/>
        <v>item_nombre</v>
      </c>
      <c r="G6" s="38" t="str">
        <f ca="1"/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42" t="s">
        <v>42</v>
      </c>
      <c r="AK6" s="43" t="s">
        <v>43</v>
      </c>
      <c r="AL6" s="26" t="s">
        <v>2</v>
      </c>
    </row>
    <row r="7" spans="1:38" ht="23.25" customHeight="1" x14ac:dyDescent="0.25">
      <c r="A7" s="34">
        <v>1</v>
      </c>
      <c r="B7" s="35"/>
      <c r="C7" s="27"/>
      <c r="D7" s="28"/>
      <c r="E7" s="44"/>
      <c r="F7" s="52"/>
      <c r="G7" s="52"/>
      <c r="H7" s="52"/>
      <c r="I7" s="52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50"/>
      <c r="AK7" s="48"/>
      <c r="AL7" s="54"/>
    </row>
    <row r="8" spans="1:38" ht="23.25" customHeight="1" x14ac:dyDescent="0.25">
      <c r="A8" s="34">
        <v>2</v>
      </c>
      <c r="B8" s="37"/>
      <c r="C8" s="30"/>
      <c r="D8" s="31"/>
      <c r="E8" s="45"/>
      <c r="F8" s="33"/>
      <c r="G8" s="33"/>
      <c r="H8" s="33"/>
      <c r="I8" s="33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51"/>
      <c r="AK8" s="49"/>
      <c r="AL8" s="54"/>
    </row>
    <row r="9" spans="1:38" ht="23.25" customHeight="1" x14ac:dyDescent="0.25">
      <c r="A9" s="34">
        <v>3</v>
      </c>
      <c r="B9" s="37"/>
      <c r="C9" s="30"/>
      <c r="D9" s="31"/>
      <c r="E9" s="45"/>
      <c r="F9" s="33"/>
      <c r="G9" s="33"/>
      <c r="H9" s="33"/>
      <c r="I9" s="33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51"/>
      <c r="AK9" s="49"/>
      <c r="AL9" s="54"/>
    </row>
    <row r="10" spans="1:38" ht="23.25" customHeight="1" x14ac:dyDescent="0.25">
      <c r="A10" s="34">
        <v>4</v>
      </c>
      <c r="B10" s="37"/>
      <c r="C10" s="30"/>
      <c r="D10" s="31"/>
      <c r="E10" s="45"/>
      <c r="F10" s="33"/>
      <c r="G10" s="33"/>
      <c r="H10" s="33"/>
      <c r="I10" s="33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51"/>
      <c r="AK10" s="49"/>
      <c r="AL10" s="54"/>
    </row>
    <row r="11" spans="1:38" ht="23.25" customHeight="1" x14ac:dyDescent="0.25">
      <c r="A11" s="34">
        <v>5</v>
      </c>
      <c r="B11" s="37"/>
      <c r="C11" s="30"/>
      <c r="D11" s="31"/>
      <c r="E11" s="45"/>
      <c r="F11" s="33"/>
      <c r="G11" s="33"/>
      <c r="H11" s="33"/>
      <c r="I11" s="33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51"/>
      <c r="AK11" s="49"/>
      <c r="AL11" s="54"/>
    </row>
    <row r="12" spans="1:38" ht="23.25" customHeight="1" x14ac:dyDescent="0.25">
      <c r="A12" s="34">
        <v>6</v>
      </c>
      <c r="B12" s="37"/>
      <c r="C12" s="30"/>
      <c r="D12" s="31"/>
      <c r="E12" s="45"/>
      <c r="F12" s="33"/>
      <c r="G12" s="33"/>
      <c r="H12" s="33"/>
      <c r="I12" s="33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51"/>
      <c r="AK12" s="49"/>
      <c r="AL12" s="54"/>
    </row>
    <row r="13" spans="1:38" ht="23.25" customHeight="1" x14ac:dyDescent="0.25">
      <c r="A13" s="34">
        <v>7</v>
      </c>
      <c r="B13" s="37"/>
      <c r="C13" s="30"/>
      <c r="D13" s="31"/>
      <c r="E13" s="45"/>
      <c r="F13" s="33"/>
      <c r="G13" s="33"/>
      <c r="H13" s="33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51"/>
      <c r="AK13" s="49"/>
      <c r="AL13" s="54"/>
    </row>
    <row r="14" spans="1:38" ht="23.25" customHeight="1" x14ac:dyDescent="0.25">
      <c r="A14" s="34">
        <v>8</v>
      </c>
      <c r="B14" s="37"/>
      <c r="C14" s="30"/>
      <c r="D14" s="31"/>
      <c r="E14" s="45"/>
      <c r="F14" s="33"/>
      <c r="G14" s="33"/>
      <c r="H14" s="33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51"/>
      <c r="AK14" s="49"/>
      <c r="AL14" s="54"/>
    </row>
    <row r="15" spans="1:38" ht="23.25" customHeight="1" x14ac:dyDescent="0.25">
      <c r="A15" s="34">
        <v>9</v>
      </c>
      <c r="B15" s="37"/>
      <c r="C15" s="30"/>
      <c r="D15" s="31"/>
      <c r="E15" s="45"/>
      <c r="F15" s="33"/>
      <c r="G15" s="33"/>
      <c r="H15" s="33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51"/>
      <c r="AK15" s="49"/>
      <c r="AL15" s="54"/>
    </row>
    <row r="16" spans="1:38" ht="23.25" customHeight="1" x14ac:dyDescent="0.25">
      <c r="A16" s="34">
        <v>10</v>
      </c>
      <c r="B16" s="37"/>
      <c r="C16" s="30"/>
      <c r="D16" s="31"/>
      <c r="E16" s="45"/>
      <c r="F16" s="33"/>
      <c r="G16" s="33"/>
      <c r="H16" s="33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51"/>
      <c r="AK16" s="49"/>
      <c r="AL16" s="54"/>
    </row>
    <row r="17" spans="1:38" ht="23.25" customHeight="1" x14ac:dyDescent="0.25">
      <c r="A17" s="34">
        <v>11</v>
      </c>
      <c r="B17" s="37"/>
      <c r="C17" s="30"/>
      <c r="D17" s="31"/>
      <c r="E17" s="45"/>
      <c r="F17" s="33"/>
      <c r="G17" s="33"/>
      <c r="H17" s="33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51"/>
      <c r="AK17" s="49"/>
      <c r="AL17" s="54"/>
    </row>
    <row r="18" spans="1:38" ht="23.25" customHeight="1" x14ac:dyDescent="0.25">
      <c r="A18" s="34">
        <v>12</v>
      </c>
      <c r="B18" s="37"/>
      <c r="C18" s="30"/>
      <c r="D18" s="31"/>
      <c r="E18" s="45"/>
      <c r="F18" s="33"/>
      <c r="G18" s="33"/>
      <c r="H18" s="33"/>
      <c r="I18" s="33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51"/>
      <c r="AK18" s="49"/>
      <c r="AL18" s="54"/>
    </row>
    <row r="19" spans="1:38" ht="23.25" customHeight="1" x14ac:dyDescent="0.25">
      <c r="A19" s="34">
        <v>13</v>
      </c>
      <c r="B19" s="37"/>
      <c r="C19" s="30"/>
      <c r="D19" s="31"/>
      <c r="E19" s="45"/>
      <c r="F19" s="33"/>
      <c r="G19" s="33"/>
      <c r="H19" s="33"/>
      <c r="I19" s="33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51"/>
      <c r="AK19" s="49"/>
      <c r="AL19" s="54"/>
    </row>
    <row r="20" spans="1:38" ht="23.25" customHeight="1" x14ac:dyDescent="0.25">
      <c r="A20" s="34">
        <v>14</v>
      </c>
      <c r="B20" s="37"/>
      <c r="C20" s="30"/>
      <c r="D20" s="31"/>
      <c r="E20" s="45"/>
      <c r="F20" s="33"/>
      <c r="G20" s="33"/>
      <c r="H20" s="33"/>
      <c r="I20" s="33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51"/>
      <c r="AK20" s="49"/>
      <c r="AL20" s="54"/>
    </row>
    <row r="21" spans="1:38" ht="23.25" customHeight="1" x14ac:dyDescent="0.25">
      <c r="A21" s="34">
        <v>15</v>
      </c>
      <c r="B21" s="37"/>
      <c r="C21" s="30"/>
      <c r="D21" s="31"/>
      <c r="E21" s="45"/>
      <c r="F21" s="33"/>
      <c r="G21" s="33"/>
      <c r="H21" s="33"/>
      <c r="I21" s="33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51"/>
      <c r="AK21" s="49"/>
      <c r="AL21" s="54"/>
    </row>
    <row r="22" spans="1:38" ht="23.25" customHeight="1" x14ac:dyDescent="0.25">
      <c r="A22" s="34">
        <v>16</v>
      </c>
      <c r="B22" s="37"/>
      <c r="C22" s="30"/>
      <c r="D22" s="31"/>
      <c r="E22" s="45"/>
      <c r="F22" s="33"/>
      <c r="G22" s="33"/>
      <c r="H22" s="33"/>
      <c r="I22" s="33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51"/>
      <c r="AK22" s="49"/>
      <c r="AL22" s="54"/>
    </row>
    <row r="23" spans="1:38" ht="23.25" customHeight="1" x14ac:dyDescent="0.25">
      <c r="A23" s="34">
        <v>17</v>
      </c>
      <c r="B23" s="37"/>
      <c r="C23" s="30"/>
      <c r="D23" s="31"/>
      <c r="E23" s="45"/>
      <c r="F23" s="33"/>
      <c r="G23" s="33"/>
      <c r="H23" s="33"/>
      <c r="I23" s="33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51"/>
      <c r="AK23" s="49"/>
      <c r="AL23" s="54"/>
    </row>
    <row r="24" spans="1:38" ht="23.25" customHeight="1" x14ac:dyDescent="0.25">
      <c r="A24" s="34">
        <v>18</v>
      </c>
      <c r="B24" s="37"/>
      <c r="C24" s="30"/>
      <c r="D24" s="31"/>
      <c r="E24" s="45"/>
      <c r="F24" s="33"/>
      <c r="G24" s="33"/>
      <c r="H24" s="33"/>
      <c r="I24" s="33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51"/>
      <c r="AK24" s="49"/>
      <c r="AL24" s="54"/>
    </row>
    <row r="25" spans="1:38" ht="23.25" customHeight="1" x14ac:dyDescent="0.25">
      <c r="A25" s="34">
        <v>19</v>
      </c>
      <c r="B25" s="37"/>
      <c r="C25" s="30"/>
      <c r="D25" s="31"/>
      <c r="E25" s="45"/>
      <c r="F25" s="33"/>
      <c r="G25" s="33"/>
      <c r="H25" s="33"/>
      <c r="I25" s="33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51"/>
      <c r="AK25" s="49"/>
      <c r="AL25" s="54"/>
    </row>
    <row r="26" spans="1:38" ht="23.25" customHeight="1" x14ac:dyDescent="0.25">
      <c r="A26" s="34">
        <v>20</v>
      </c>
      <c r="B26" s="37"/>
      <c r="C26" s="30"/>
      <c r="D26" s="31"/>
      <c r="E26" s="45"/>
      <c r="F26" s="33"/>
      <c r="G26" s="33"/>
      <c r="H26" s="33"/>
      <c r="I26" s="33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51"/>
      <c r="AK26" s="49"/>
      <c r="AL26" s="54"/>
    </row>
    <row r="27" spans="1:38" ht="23.25" customHeight="1" x14ac:dyDescent="0.25">
      <c r="A27" s="34">
        <v>21</v>
      </c>
      <c r="B27" s="37"/>
      <c r="C27" s="30"/>
      <c r="D27" s="31"/>
      <c r="E27" s="45"/>
      <c r="F27" s="33"/>
      <c r="G27" s="33"/>
      <c r="H27" s="33"/>
      <c r="I27" s="33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51"/>
      <c r="AK27" s="49"/>
      <c r="AL27" s="54"/>
    </row>
    <row r="28" spans="1:38" ht="23.25" customHeight="1" x14ac:dyDescent="0.25">
      <c r="A28" s="34">
        <v>22</v>
      </c>
      <c r="B28" s="37"/>
      <c r="C28" s="30"/>
      <c r="D28" s="31"/>
      <c r="E28" s="45"/>
      <c r="F28" s="33"/>
      <c r="G28" s="33"/>
      <c r="H28" s="33"/>
      <c r="I28" s="33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51"/>
      <c r="AK28" s="49"/>
      <c r="AL28" s="54"/>
    </row>
    <row r="29" spans="1:38" ht="23.25" customHeight="1" x14ac:dyDescent="0.25">
      <c r="A29" s="34">
        <v>23</v>
      </c>
      <c r="B29" s="37"/>
      <c r="C29" s="30"/>
      <c r="D29" s="31"/>
      <c r="E29" s="45"/>
      <c r="F29" s="33"/>
      <c r="G29" s="33"/>
      <c r="H29" s="33"/>
      <c r="I29" s="33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51"/>
      <c r="AK29" s="49"/>
      <c r="AL29" s="54"/>
    </row>
    <row r="30" spans="1:38" ht="23.25" customHeight="1" x14ac:dyDescent="0.25">
      <c r="A30" s="34">
        <v>24</v>
      </c>
      <c r="B30" s="37"/>
      <c r="C30" s="30"/>
      <c r="D30" s="31"/>
      <c r="E30" s="45"/>
      <c r="F30" s="33"/>
      <c r="G30" s="33"/>
      <c r="H30" s="33"/>
      <c r="I30" s="33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51"/>
      <c r="AK30" s="49"/>
      <c r="AL30" s="54"/>
    </row>
    <row r="31" spans="1:38" ht="23.25" customHeight="1" x14ac:dyDescent="0.25">
      <c r="A31" s="34">
        <v>25</v>
      </c>
      <c r="B31" s="37"/>
      <c r="C31" s="30"/>
      <c r="D31" s="31"/>
      <c r="E31" s="45"/>
      <c r="F31" s="33"/>
      <c r="G31" s="33"/>
      <c r="H31" s="33"/>
      <c r="I31" s="33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51"/>
      <c r="AK31" s="49"/>
      <c r="AL31" s="54"/>
    </row>
    <row r="32" spans="1:38" ht="23.25" customHeight="1" x14ac:dyDescent="0.25">
      <c r="A32" s="34">
        <v>26</v>
      </c>
      <c r="B32" s="37"/>
      <c r="C32" s="30"/>
      <c r="D32" s="31"/>
      <c r="E32" s="45"/>
      <c r="F32" s="33"/>
      <c r="G32" s="33"/>
      <c r="H32" s="33"/>
      <c r="I32" s="33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51"/>
      <c r="AK32" s="49"/>
      <c r="AL32" s="54"/>
    </row>
    <row r="33" spans="1:38" ht="23.25" customHeight="1" x14ac:dyDescent="0.25">
      <c r="A33" s="34">
        <v>27</v>
      </c>
      <c r="B33" s="37"/>
      <c r="C33" s="30"/>
      <c r="D33" s="31"/>
      <c r="E33" s="45"/>
      <c r="F33" s="33"/>
      <c r="G33" s="33"/>
      <c r="H33" s="33"/>
      <c r="I33" s="33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51"/>
      <c r="AK33" s="49"/>
      <c r="AL33" s="54"/>
    </row>
    <row r="34" spans="1:38" ht="23.25" customHeight="1" x14ac:dyDescent="0.25">
      <c r="A34" s="34">
        <v>28</v>
      </c>
      <c r="B34" s="37"/>
      <c r="C34" s="30"/>
      <c r="D34" s="31"/>
      <c r="E34" s="45"/>
      <c r="F34" s="33"/>
      <c r="G34" s="33"/>
      <c r="H34" s="33"/>
      <c r="I34" s="33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51"/>
      <c r="AK34" s="49"/>
      <c r="AL34" s="54"/>
    </row>
    <row r="35" spans="1:38" ht="23.25" customHeight="1" x14ac:dyDescent="0.25">
      <c r="A35" s="34">
        <v>29</v>
      </c>
      <c r="B35" s="37"/>
      <c r="C35" s="30"/>
      <c r="D35" s="31"/>
      <c r="E35" s="45"/>
      <c r="F35" s="33"/>
      <c r="G35" s="33"/>
      <c r="H35" s="33"/>
      <c r="I35" s="33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51"/>
      <c r="AK35" s="49"/>
      <c r="AL35" s="54"/>
    </row>
    <row r="36" spans="1:38" ht="23.25" customHeight="1" x14ac:dyDescent="0.25">
      <c r="A36" s="34">
        <v>30</v>
      </c>
      <c r="B36" s="37"/>
      <c r="C36" s="30"/>
      <c r="D36" s="31"/>
      <c r="E36" s="45"/>
      <c r="F36" s="33"/>
      <c r="G36" s="33"/>
      <c r="H36" s="33"/>
      <c r="I36" s="33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51"/>
      <c r="AK36" s="49"/>
      <c r="AL36" s="54"/>
    </row>
    <row r="37" spans="1:38" ht="23.25" customHeight="1" x14ac:dyDescent="0.25">
      <c r="A37" s="34">
        <v>31</v>
      </c>
      <c r="B37" s="37"/>
      <c r="C37" s="30"/>
      <c r="D37" s="31"/>
      <c r="E37" s="45"/>
      <c r="F37" s="33"/>
      <c r="G37" s="33"/>
      <c r="H37" s="33"/>
      <c r="I37" s="33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51"/>
      <c r="AK37" s="49"/>
      <c r="AL37" s="54"/>
    </row>
    <row r="38" spans="1:38" ht="23.25" customHeight="1" x14ac:dyDescent="0.25">
      <c r="A38" s="34">
        <v>32</v>
      </c>
      <c r="B38" s="37"/>
      <c r="C38" s="30"/>
      <c r="D38" s="31"/>
      <c r="E38" s="45"/>
      <c r="F38" s="33"/>
      <c r="G38" s="33"/>
      <c r="H38" s="33"/>
      <c r="I38" s="33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51"/>
      <c r="AK38" s="49"/>
      <c r="AL38" s="54"/>
    </row>
    <row r="39" spans="1:38" ht="23.25" customHeight="1" x14ac:dyDescent="0.25">
      <c r="A39" s="34">
        <v>33</v>
      </c>
      <c r="B39" s="37"/>
      <c r="C39" s="30"/>
      <c r="D39" s="31"/>
      <c r="E39" s="45"/>
      <c r="F39" s="33"/>
      <c r="G39" s="33"/>
      <c r="H39" s="33"/>
      <c r="I39" s="33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51"/>
      <c r="AK39" s="49"/>
      <c r="AL39" s="54"/>
    </row>
    <row r="40" spans="1:38" ht="23.25" customHeight="1" x14ac:dyDescent="0.25">
      <c r="A40" s="34">
        <v>34</v>
      </c>
      <c r="B40" s="37"/>
      <c r="C40" s="30"/>
      <c r="D40" s="31"/>
      <c r="E40" s="45"/>
      <c r="F40" s="33"/>
      <c r="G40" s="33"/>
      <c r="H40" s="33"/>
      <c r="I40" s="33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51"/>
      <c r="AK40" s="49"/>
      <c r="AL40" s="54"/>
    </row>
    <row r="41" spans="1:38" ht="23.25" customHeight="1" x14ac:dyDescent="0.25">
      <c r="A41" s="34">
        <v>35</v>
      </c>
      <c r="B41" s="37"/>
      <c r="C41" s="30"/>
      <c r="D41" s="31"/>
      <c r="E41" s="45"/>
      <c r="F41" s="33"/>
      <c r="G41" s="33"/>
      <c r="H41" s="33"/>
      <c r="I41" s="33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51"/>
      <c r="AK41" s="49"/>
      <c r="AL41" s="54"/>
    </row>
    <row r="42" spans="1:38" ht="23.25" customHeight="1" x14ac:dyDescent="0.25">
      <c r="A42" s="34">
        <v>36</v>
      </c>
      <c r="B42" s="37"/>
      <c r="C42" s="30"/>
      <c r="D42" s="31"/>
      <c r="E42" s="45"/>
      <c r="F42" s="33"/>
      <c r="G42" s="33"/>
      <c r="H42" s="33"/>
      <c r="I42" s="33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51"/>
      <c r="AK42" s="49"/>
      <c r="AL42" s="54"/>
    </row>
    <row r="43" spans="1:38" ht="23.25" customHeight="1" x14ac:dyDescent="0.25">
      <c r="A43" s="34">
        <v>37</v>
      </c>
      <c r="B43" s="37"/>
      <c r="C43" s="30"/>
      <c r="D43" s="31"/>
      <c r="E43" s="45"/>
      <c r="F43" s="33"/>
      <c r="G43" s="33"/>
      <c r="H43" s="33"/>
      <c r="I43" s="33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51"/>
      <c r="AK43" s="49"/>
      <c r="AL43" s="54"/>
    </row>
    <row r="44" spans="1:38" ht="23.25" customHeight="1" x14ac:dyDescent="0.25">
      <c r="A44" s="36">
        <v>38</v>
      </c>
      <c r="B44" s="37"/>
      <c r="C44" s="30"/>
      <c r="D44" s="31"/>
      <c r="E44" s="45"/>
      <c r="F44" s="33"/>
      <c r="G44" s="33"/>
      <c r="H44" s="33"/>
      <c r="I44" s="33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51"/>
      <c r="AK44" s="49"/>
      <c r="AL44" s="54"/>
    </row>
    <row r="45" spans="1:38" ht="23.25" customHeight="1" x14ac:dyDescent="0.25">
      <c r="A45" s="36">
        <v>39</v>
      </c>
      <c r="B45" s="37"/>
      <c r="C45" s="30"/>
      <c r="D45" s="31"/>
      <c r="E45" s="45"/>
      <c r="F45" s="33"/>
      <c r="G45" s="33"/>
      <c r="H45" s="33"/>
      <c r="I45" s="33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51"/>
      <c r="AK45" s="49"/>
      <c r="AL45" s="54"/>
    </row>
    <row r="46" spans="1:38" ht="23.25" customHeight="1" x14ac:dyDescent="0.25">
      <c r="A46" s="36">
        <v>40</v>
      </c>
      <c r="B46" s="37"/>
      <c r="C46" s="30"/>
      <c r="D46" s="31"/>
      <c r="E46" s="45"/>
      <c r="F46" s="33"/>
      <c r="G46" s="33"/>
      <c r="H46" s="33"/>
      <c r="I46" s="33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51"/>
      <c r="AK46" s="49"/>
      <c r="AL46" s="54"/>
    </row>
    <row r="47" spans="1:38" ht="23.25" customHeight="1" x14ac:dyDescent="0.25">
      <c r="A47" s="36">
        <v>41</v>
      </c>
      <c r="B47" s="37"/>
      <c r="C47" s="30"/>
      <c r="D47" s="31"/>
      <c r="E47" s="45"/>
      <c r="F47" s="33"/>
      <c r="G47" s="33"/>
      <c r="H47" s="33"/>
      <c r="I47" s="33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51"/>
      <c r="AK47" s="49"/>
      <c r="AL47" s="54"/>
    </row>
    <row r="48" spans="1:38" ht="23.25" customHeight="1" x14ac:dyDescent="0.25">
      <c r="A48" s="36">
        <v>42</v>
      </c>
      <c r="B48" s="37"/>
      <c r="C48" s="30"/>
      <c r="D48" s="31"/>
      <c r="E48" s="45"/>
      <c r="F48" s="33"/>
      <c r="G48" s="33"/>
      <c r="H48" s="33"/>
      <c r="I48" s="33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51"/>
      <c r="AK48" s="49"/>
      <c r="AL48" s="54"/>
    </row>
    <row r="49" spans="1:38" ht="23.25" customHeight="1" x14ac:dyDescent="0.25">
      <c r="A49" s="36">
        <v>43</v>
      </c>
      <c r="B49" s="37"/>
      <c r="C49" s="30"/>
      <c r="D49" s="31"/>
      <c r="E49" s="45"/>
      <c r="F49" s="33"/>
      <c r="G49" s="33"/>
      <c r="H49" s="33"/>
      <c r="I49" s="3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51"/>
      <c r="AK49" s="49"/>
      <c r="AL49" s="54"/>
    </row>
    <row r="50" spans="1:38" ht="23.25" customHeight="1" x14ac:dyDescent="0.25">
      <c r="A50" s="36">
        <v>44</v>
      </c>
      <c r="B50" s="37"/>
      <c r="C50" s="30"/>
      <c r="D50" s="31"/>
      <c r="E50" s="45"/>
      <c r="F50" s="33"/>
      <c r="G50" s="33"/>
      <c r="H50" s="33"/>
      <c r="I50" s="33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51"/>
      <c r="AK50" s="49"/>
      <c r="AL50" s="54"/>
    </row>
    <row r="51" spans="1:38" ht="23.25" customHeight="1" x14ac:dyDescent="0.25">
      <c r="A51" s="36">
        <v>45</v>
      </c>
      <c r="B51" s="37"/>
      <c r="C51" s="30"/>
      <c r="D51" s="31"/>
      <c r="E51" s="45"/>
      <c r="F51" s="33"/>
      <c r="G51" s="33"/>
      <c r="H51" s="33"/>
      <c r="I51" s="33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51"/>
      <c r="AK51" s="49"/>
      <c r="AL51" s="54"/>
    </row>
    <row r="52" spans="1:38" ht="23.25" customHeight="1" x14ac:dyDescent="0.25">
      <c r="A52" s="36">
        <v>46</v>
      </c>
      <c r="B52" s="37"/>
      <c r="C52" s="30"/>
      <c r="D52" s="31"/>
      <c r="E52" s="45"/>
      <c r="F52" s="33"/>
      <c r="G52" s="33"/>
      <c r="H52" s="33"/>
      <c r="I52" s="33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51"/>
      <c r="AK52" s="49"/>
      <c r="AL52" s="54"/>
    </row>
    <row r="53" spans="1:38" ht="23.25" customHeight="1" x14ac:dyDescent="0.25">
      <c r="A53" s="36">
        <v>47</v>
      </c>
      <c r="B53" s="37"/>
      <c r="C53" s="30"/>
      <c r="D53" s="31"/>
      <c r="E53" s="45"/>
      <c r="F53" s="33"/>
      <c r="G53" s="33"/>
      <c r="H53" s="33"/>
      <c r="I53" s="33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51"/>
      <c r="AK53" s="49"/>
      <c r="AL53" s="54"/>
    </row>
    <row r="54" spans="1:38" ht="23.25" customHeight="1" x14ac:dyDescent="0.25">
      <c r="A54" s="36">
        <v>48</v>
      </c>
      <c r="B54" s="37"/>
      <c r="C54" s="30"/>
      <c r="D54" s="31"/>
      <c r="E54" s="45"/>
      <c r="F54" s="33"/>
      <c r="G54" s="33"/>
      <c r="H54" s="33"/>
      <c r="I54" s="33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51"/>
      <c r="AK54" s="49"/>
      <c r="AL54" s="54"/>
    </row>
    <row r="55" spans="1:38" ht="23.25" customHeight="1" x14ac:dyDescent="0.25">
      <c r="A55" s="36">
        <v>49</v>
      </c>
      <c r="B55" s="37"/>
      <c r="C55" s="30"/>
      <c r="D55" s="31"/>
      <c r="E55" s="45"/>
      <c r="F55" s="33"/>
      <c r="G55" s="33"/>
      <c r="H55" s="33"/>
      <c r="I55" s="33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51"/>
      <c r="AK55" s="49"/>
      <c r="AL55" s="54"/>
    </row>
    <row r="56" spans="1:38" ht="23.25" customHeight="1" x14ac:dyDescent="0.25">
      <c r="A56" s="36">
        <v>50</v>
      </c>
      <c r="B56" s="37"/>
      <c r="C56" s="30"/>
      <c r="D56" s="31"/>
      <c r="E56" s="45"/>
      <c r="F56" s="33"/>
      <c r="G56" s="33"/>
      <c r="H56" s="33"/>
      <c r="I56" s="33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51"/>
      <c r="AK56" s="49"/>
      <c r="AL56" s="54"/>
    </row>
    <row r="57" spans="1:38" ht="23.25" customHeight="1" x14ac:dyDescent="0.25">
      <c r="A57" s="36">
        <v>51</v>
      </c>
      <c r="B57" s="37"/>
      <c r="C57" s="30"/>
      <c r="D57" s="31"/>
      <c r="E57" s="45"/>
      <c r="F57" s="33"/>
      <c r="G57" s="33"/>
      <c r="H57" s="33"/>
      <c r="I57" s="33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51"/>
      <c r="AK57" s="49"/>
      <c r="AL57" s="54"/>
    </row>
    <row r="58" spans="1:38" ht="23.25" customHeight="1" x14ac:dyDescent="0.25">
      <c r="A58" s="36">
        <v>52</v>
      </c>
      <c r="B58" s="37"/>
      <c r="C58" s="30"/>
      <c r="D58" s="31"/>
      <c r="E58" s="45"/>
      <c r="F58" s="33"/>
      <c r="G58" s="33"/>
      <c r="H58" s="33"/>
      <c r="I58" s="33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51"/>
      <c r="AK58" s="49"/>
      <c r="AL58" s="54"/>
    </row>
    <row r="59" spans="1:38" ht="23.25" customHeight="1" x14ac:dyDescent="0.25">
      <c r="A59" s="36">
        <v>53</v>
      </c>
      <c r="B59" s="37"/>
      <c r="C59" s="30"/>
      <c r="D59" s="31"/>
      <c r="E59" s="45"/>
      <c r="F59" s="33"/>
      <c r="G59" s="33"/>
      <c r="H59" s="33"/>
      <c r="I59" s="33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51"/>
      <c r="AK59" s="49"/>
      <c r="AL59" s="54"/>
    </row>
    <row r="60" spans="1:38" ht="23.25" customHeight="1" x14ac:dyDescent="0.25">
      <c r="A60" s="36">
        <v>54</v>
      </c>
      <c r="B60" s="37"/>
      <c r="C60" s="30"/>
      <c r="D60" s="31"/>
      <c r="E60" s="45"/>
      <c r="F60" s="33"/>
      <c r="G60" s="33"/>
      <c r="H60" s="33"/>
      <c r="I60" s="33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51"/>
      <c r="AK60" s="49"/>
      <c r="AL60" s="54"/>
    </row>
    <row r="61" spans="1:38" ht="23.25" customHeight="1" x14ac:dyDescent="0.25">
      <c r="A61" s="36">
        <v>55</v>
      </c>
      <c r="B61" s="37"/>
      <c r="C61" s="30"/>
      <c r="D61" s="31"/>
      <c r="E61" s="45"/>
      <c r="F61" s="33"/>
      <c r="G61" s="33"/>
      <c r="H61" s="33"/>
      <c r="I61" s="33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51"/>
      <c r="AK61" s="49"/>
      <c r="AL61" s="54"/>
    </row>
    <row r="62" spans="1:38" ht="23.25" customHeight="1" x14ac:dyDescent="0.25">
      <c r="A62" s="36">
        <v>56</v>
      </c>
      <c r="B62" s="37"/>
      <c r="C62" s="30"/>
      <c r="D62" s="31"/>
      <c r="E62" s="45"/>
      <c r="F62" s="33"/>
      <c r="G62" s="33"/>
      <c r="H62" s="33"/>
      <c r="I62" s="33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51"/>
      <c r="AK62" s="49"/>
      <c r="AL62" s="54"/>
    </row>
    <row r="63" spans="1:38" ht="23.25" customHeight="1" x14ac:dyDescent="0.25">
      <c r="A63" s="36">
        <v>57</v>
      </c>
      <c r="B63" s="37"/>
      <c r="C63" s="30"/>
      <c r="D63" s="31"/>
      <c r="E63" s="45"/>
      <c r="F63" s="33"/>
      <c r="G63" s="33"/>
      <c r="H63" s="33"/>
      <c r="I63" s="33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51"/>
      <c r="AK63" s="49"/>
      <c r="AL63" s="54"/>
    </row>
    <row r="64" spans="1:38" ht="23.25" customHeight="1" x14ac:dyDescent="0.25">
      <c r="A64" s="36">
        <v>58</v>
      </c>
      <c r="B64" s="37"/>
      <c r="C64" s="30"/>
      <c r="D64" s="31"/>
      <c r="E64" s="45"/>
      <c r="F64" s="33"/>
      <c r="G64" s="33"/>
      <c r="H64" s="33"/>
      <c r="I64" s="33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51"/>
      <c r="AK64" s="49"/>
      <c r="AL64" s="54"/>
    </row>
    <row r="65" spans="1:38" ht="23.25" customHeight="1" x14ac:dyDescent="0.25">
      <c r="A65" s="36">
        <v>59</v>
      </c>
      <c r="B65" s="37"/>
      <c r="C65" s="30"/>
      <c r="D65" s="31"/>
      <c r="E65" s="45"/>
      <c r="F65" s="33"/>
      <c r="G65" s="33"/>
      <c r="H65" s="33"/>
      <c r="I65" s="33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51"/>
      <c r="AK65" s="49"/>
      <c r="AL65" s="54"/>
    </row>
    <row r="66" spans="1:38" ht="23.25" customHeight="1" x14ac:dyDescent="0.25">
      <c r="A66" s="36">
        <v>60</v>
      </c>
      <c r="B66" s="37"/>
      <c r="C66" s="30"/>
      <c r="D66" s="31"/>
      <c r="E66" s="45"/>
      <c r="F66" s="33"/>
      <c r="G66" s="33"/>
      <c r="H66" s="33"/>
      <c r="I66" s="33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51"/>
      <c r="AK66" s="49"/>
      <c r="AL66" s="54"/>
    </row>
    <row r="67" spans="1:38" ht="8.25" customHeight="1" x14ac:dyDescent="0.4">
      <c r="D67" s="18"/>
      <c r="E67" s="19"/>
      <c r="F67" s="17"/>
      <c r="G67" s="17"/>
      <c r="H67" s="17"/>
      <c r="I67" s="17"/>
    </row>
  </sheetData>
  <sortState xmlns:xlrd2="http://schemas.microsoft.com/office/spreadsheetml/2017/richdata2" ref="A7:AL43">
    <sortCondition ref="E7:E43"/>
  </sortState>
  <dataConsolidate/>
  <mergeCells count="2">
    <mergeCell ref="C5:E5"/>
    <mergeCell ref="C4:E4"/>
  </mergeCells>
  <conditionalFormatting sqref="G4:I4 K4:M4 O4:Q4 S4:U4 W4:Y4 AA4:AC4 AE4:AG4 AI4 F5:AI6">
    <cfRule type="expression" dxfId="9" priority="47">
      <formula>IF(MOD(F$5,2)=0,TRUE,FALSE)</formula>
    </cfRule>
  </conditionalFormatting>
  <conditionalFormatting sqref="F4">
    <cfRule type="expression" dxfId="8" priority="45">
      <formula>IF(MOD(F$5,2)=0,TRUE,FALSE)</formula>
    </cfRule>
  </conditionalFormatting>
  <conditionalFormatting sqref="N7:AI33 F36:L66 N40:AI66 F7:L34 N36:S39 N34:S34 T34:AI39">
    <cfRule type="expression" dxfId="7" priority="14">
      <formula>IF(MOD(F$5,2)=0,TRUE,FALSE)</formula>
    </cfRule>
  </conditionalFormatting>
  <conditionalFormatting sqref="F6:AI6">
    <cfRule type="cellIs" dxfId="6" priority="25" operator="equal">
      <formula>""</formula>
    </cfRule>
  </conditionalFormatting>
  <conditionalFormatting sqref="AK7:AK66">
    <cfRule type="cellIs" dxfId="5" priority="1" operator="lessThan">
      <formula>4</formula>
    </cfRule>
  </conditionalFormatting>
  <conditionalFormatting sqref="F35:L35 N35:S35">
    <cfRule type="expression" dxfId="4" priority="18">
      <formula>IF(MOD(F$5,2)=0,TRUE,FALSE)</formula>
    </cfRule>
  </conditionalFormatting>
  <conditionalFormatting sqref="G3">
    <cfRule type="cellIs" priority="9" operator="equal">
      <formula>1</formula>
    </cfRule>
    <cfRule type="cellIs" priority="10" operator="equal">
      <formula>1</formula>
    </cfRule>
    <cfRule type="cellIs" priority="11" operator="equal">
      <formula>1</formula>
    </cfRule>
    <cfRule type="cellIs" priority="12" stopIfTrue="1" operator="equal">
      <formula>1</formula>
    </cfRule>
  </conditionalFormatting>
  <conditionalFormatting sqref="M7">
    <cfRule type="expression" dxfId="3" priority="6">
      <formula>IF(MOD(M$5,2)=0,TRUE,FALSE)</formula>
    </cfRule>
  </conditionalFormatting>
  <conditionalFormatting sqref="M8:M65">
    <cfRule type="expression" dxfId="2" priority="4">
      <formula>IF(MOD(M$5,2)=0,TRUE,FALSE)</formula>
    </cfRule>
  </conditionalFormatting>
  <conditionalFormatting sqref="M66">
    <cfRule type="expression" dxfId="1" priority="3">
      <formula>IF(MOD(M$5,2)=0,TRUE,FALSE)</formula>
    </cfRule>
  </conditionalFormatting>
  <conditionalFormatting sqref="J4 N4 R4 V4 Z4 AD4 AH4">
    <cfRule type="expression" dxfId="0" priority="2">
      <formula>IF(MOD(J$5,2)=0,TRUE,FALSE)</formula>
    </cfRule>
  </conditionalFormatting>
  <dataValidations count="1">
    <dataValidation type="whole" allowBlank="1" showDropDown="1" showInputMessage="1" showErrorMessage="1" sqref="E7:E66" xr:uid="{00000000-0002-0000-0000-000000000000}">
      <formula1>1</formula1>
      <formula2>20</formula2>
    </dataValidation>
  </dataValidations>
  <pageMargins left="0.70866141732283472" right="0.70866141732283472" top="0.74803149606299213" bottom="0.74803149606299213" header="0.31496062992125984" footer="0.31496062992125984"/>
  <pageSetup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Hoja1.ordena">
                <anchor moveWithCells="1" sizeWithCells="1">
                  <from>
                    <xdr:col>1</xdr:col>
                    <xdr:colOff>3248025</xdr:colOff>
                    <xdr:row>5</xdr:row>
                    <xdr:rowOff>19050</xdr:rowOff>
                  </from>
                  <to>
                    <xdr:col>2</xdr:col>
                    <xdr:colOff>1276350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" name="Check Box 54">
              <controlPr defaultSize="0" autoFill="0" autoLine="0" autoPict="0">
                <anchor moveWithCells="1">
                  <from>
                    <xdr:col>37</xdr:col>
                    <xdr:colOff>85725</xdr:colOff>
                    <xdr:row>6</xdr:row>
                    <xdr:rowOff>38100</xdr:rowOff>
                  </from>
                  <to>
                    <xdr:col>37</xdr:col>
                    <xdr:colOff>323850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Check Box 55">
              <controlPr defaultSize="0" autoFill="0" autoLine="0" autoPict="0">
                <anchor moveWithCells="1">
                  <from>
                    <xdr:col>37</xdr:col>
                    <xdr:colOff>85725</xdr:colOff>
                    <xdr:row>7</xdr:row>
                    <xdr:rowOff>38100</xdr:rowOff>
                  </from>
                  <to>
                    <xdr:col>37</xdr:col>
                    <xdr:colOff>323850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Check Box 56">
              <controlPr defaultSize="0" autoFill="0" autoLine="0" autoPict="0">
                <anchor moveWithCells="1">
                  <from>
                    <xdr:col>37</xdr:col>
                    <xdr:colOff>85725</xdr:colOff>
                    <xdr:row>8</xdr:row>
                    <xdr:rowOff>38100</xdr:rowOff>
                  </from>
                  <to>
                    <xdr:col>37</xdr:col>
                    <xdr:colOff>323850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8" name="Check Box 57">
              <controlPr defaultSize="0" autoFill="0" autoLine="0" autoPict="0">
                <anchor moveWithCells="1">
                  <from>
                    <xdr:col>37</xdr:col>
                    <xdr:colOff>85725</xdr:colOff>
                    <xdr:row>9</xdr:row>
                    <xdr:rowOff>38100</xdr:rowOff>
                  </from>
                  <to>
                    <xdr:col>37</xdr:col>
                    <xdr:colOff>323850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9" name="Check Box 58">
              <controlPr defaultSize="0" autoFill="0" autoLine="0" autoPict="0">
                <anchor moveWithCells="1">
                  <from>
                    <xdr:col>37</xdr:col>
                    <xdr:colOff>85725</xdr:colOff>
                    <xdr:row>10</xdr:row>
                    <xdr:rowOff>38100</xdr:rowOff>
                  </from>
                  <to>
                    <xdr:col>37</xdr:col>
                    <xdr:colOff>323850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0" name="Check Box 59">
              <controlPr defaultSize="0" autoFill="0" autoLine="0" autoPict="0">
                <anchor moveWithCells="1">
                  <from>
                    <xdr:col>37</xdr:col>
                    <xdr:colOff>85725</xdr:colOff>
                    <xdr:row>11</xdr:row>
                    <xdr:rowOff>38100</xdr:rowOff>
                  </from>
                  <to>
                    <xdr:col>37</xdr:col>
                    <xdr:colOff>323850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1" name="Check Box 60">
              <controlPr defaultSize="0" autoFill="0" autoLine="0" autoPict="0">
                <anchor moveWithCells="1">
                  <from>
                    <xdr:col>37</xdr:col>
                    <xdr:colOff>85725</xdr:colOff>
                    <xdr:row>12</xdr:row>
                    <xdr:rowOff>38100</xdr:rowOff>
                  </from>
                  <to>
                    <xdr:col>37</xdr:col>
                    <xdr:colOff>323850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2" name="Check Box 61">
              <controlPr defaultSize="0" autoFill="0" autoLine="0" autoPict="0">
                <anchor moveWithCells="1">
                  <from>
                    <xdr:col>37</xdr:col>
                    <xdr:colOff>85725</xdr:colOff>
                    <xdr:row>13</xdr:row>
                    <xdr:rowOff>38100</xdr:rowOff>
                  </from>
                  <to>
                    <xdr:col>37</xdr:col>
                    <xdr:colOff>323850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3" name="Check Box 62">
              <controlPr defaultSize="0" autoFill="0" autoLine="0" autoPict="0">
                <anchor moveWithCells="1">
                  <from>
                    <xdr:col>37</xdr:col>
                    <xdr:colOff>85725</xdr:colOff>
                    <xdr:row>14</xdr:row>
                    <xdr:rowOff>38100</xdr:rowOff>
                  </from>
                  <to>
                    <xdr:col>37</xdr:col>
                    <xdr:colOff>323850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4" name="Check Box 63">
              <controlPr defaultSize="0" autoFill="0" autoLine="0" autoPict="0">
                <anchor moveWithCells="1">
                  <from>
                    <xdr:col>37</xdr:col>
                    <xdr:colOff>85725</xdr:colOff>
                    <xdr:row>15</xdr:row>
                    <xdr:rowOff>38100</xdr:rowOff>
                  </from>
                  <to>
                    <xdr:col>37</xdr:col>
                    <xdr:colOff>323850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5" name="Check Box 64">
              <controlPr defaultSize="0" autoFill="0" autoLine="0" autoPict="0">
                <anchor moveWithCells="1">
                  <from>
                    <xdr:col>37</xdr:col>
                    <xdr:colOff>85725</xdr:colOff>
                    <xdr:row>16</xdr:row>
                    <xdr:rowOff>38100</xdr:rowOff>
                  </from>
                  <to>
                    <xdr:col>37</xdr:col>
                    <xdr:colOff>323850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6" name="Check Box 65">
              <controlPr defaultSize="0" autoFill="0" autoLine="0" autoPict="0">
                <anchor moveWithCells="1">
                  <from>
                    <xdr:col>37</xdr:col>
                    <xdr:colOff>85725</xdr:colOff>
                    <xdr:row>17</xdr:row>
                    <xdr:rowOff>38100</xdr:rowOff>
                  </from>
                  <to>
                    <xdr:col>37</xdr:col>
                    <xdr:colOff>323850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7" name="Check Box 66">
              <controlPr defaultSize="0" autoFill="0" autoLine="0" autoPict="0">
                <anchor moveWithCells="1">
                  <from>
                    <xdr:col>37</xdr:col>
                    <xdr:colOff>85725</xdr:colOff>
                    <xdr:row>18</xdr:row>
                    <xdr:rowOff>38100</xdr:rowOff>
                  </from>
                  <to>
                    <xdr:col>37</xdr:col>
                    <xdr:colOff>323850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8" name="Check Box 67">
              <controlPr defaultSize="0" autoFill="0" autoLine="0" autoPict="0">
                <anchor moveWithCells="1">
                  <from>
                    <xdr:col>37</xdr:col>
                    <xdr:colOff>85725</xdr:colOff>
                    <xdr:row>19</xdr:row>
                    <xdr:rowOff>38100</xdr:rowOff>
                  </from>
                  <to>
                    <xdr:col>37</xdr:col>
                    <xdr:colOff>323850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9" name="Check Box 68">
              <controlPr defaultSize="0" autoFill="0" autoLine="0" autoPict="0">
                <anchor moveWithCells="1">
                  <from>
                    <xdr:col>37</xdr:col>
                    <xdr:colOff>85725</xdr:colOff>
                    <xdr:row>20</xdr:row>
                    <xdr:rowOff>38100</xdr:rowOff>
                  </from>
                  <to>
                    <xdr:col>37</xdr:col>
                    <xdr:colOff>323850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0" name="Check Box 69">
              <controlPr defaultSize="0" autoFill="0" autoLine="0" autoPict="0">
                <anchor moveWithCells="1">
                  <from>
                    <xdr:col>37</xdr:col>
                    <xdr:colOff>85725</xdr:colOff>
                    <xdr:row>21</xdr:row>
                    <xdr:rowOff>38100</xdr:rowOff>
                  </from>
                  <to>
                    <xdr:col>37</xdr:col>
                    <xdr:colOff>323850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1" name="Check Box 70">
              <controlPr defaultSize="0" autoFill="0" autoLine="0" autoPict="0">
                <anchor moveWithCells="1">
                  <from>
                    <xdr:col>37</xdr:col>
                    <xdr:colOff>85725</xdr:colOff>
                    <xdr:row>22</xdr:row>
                    <xdr:rowOff>38100</xdr:rowOff>
                  </from>
                  <to>
                    <xdr:col>37</xdr:col>
                    <xdr:colOff>323850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2" name="Check Box 71">
              <controlPr defaultSize="0" autoFill="0" autoLine="0" autoPict="0">
                <anchor moveWithCells="1">
                  <from>
                    <xdr:col>37</xdr:col>
                    <xdr:colOff>85725</xdr:colOff>
                    <xdr:row>23</xdr:row>
                    <xdr:rowOff>38100</xdr:rowOff>
                  </from>
                  <to>
                    <xdr:col>37</xdr:col>
                    <xdr:colOff>323850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3" name="Check Box 72">
              <controlPr defaultSize="0" autoFill="0" autoLine="0" autoPict="0">
                <anchor moveWithCells="1">
                  <from>
                    <xdr:col>37</xdr:col>
                    <xdr:colOff>85725</xdr:colOff>
                    <xdr:row>24</xdr:row>
                    <xdr:rowOff>38100</xdr:rowOff>
                  </from>
                  <to>
                    <xdr:col>37</xdr:col>
                    <xdr:colOff>323850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4" name="Check Box 73">
              <controlPr defaultSize="0" autoFill="0" autoLine="0" autoPict="0">
                <anchor moveWithCells="1">
                  <from>
                    <xdr:col>37</xdr:col>
                    <xdr:colOff>85725</xdr:colOff>
                    <xdr:row>25</xdr:row>
                    <xdr:rowOff>38100</xdr:rowOff>
                  </from>
                  <to>
                    <xdr:col>37</xdr:col>
                    <xdr:colOff>323850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5" name="Check Box 74">
              <controlPr defaultSize="0" autoFill="0" autoLine="0" autoPict="0">
                <anchor moveWithCells="1">
                  <from>
                    <xdr:col>37</xdr:col>
                    <xdr:colOff>85725</xdr:colOff>
                    <xdr:row>26</xdr:row>
                    <xdr:rowOff>38100</xdr:rowOff>
                  </from>
                  <to>
                    <xdr:col>37</xdr:col>
                    <xdr:colOff>323850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26" name="Check Box 75">
              <controlPr defaultSize="0" autoFill="0" autoLine="0" autoPict="0">
                <anchor moveWithCells="1">
                  <from>
                    <xdr:col>37</xdr:col>
                    <xdr:colOff>85725</xdr:colOff>
                    <xdr:row>27</xdr:row>
                    <xdr:rowOff>38100</xdr:rowOff>
                  </from>
                  <to>
                    <xdr:col>37</xdr:col>
                    <xdr:colOff>323850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27" name="Check Box 76">
              <controlPr defaultSize="0" autoFill="0" autoLine="0" autoPict="0">
                <anchor moveWithCells="1">
                  <from>
                    <xdr:col>37</xdr:col>
                    <xdr:colOff>85725</xdr:colOff>
                    <xdr:row>28</xdr:row>
                    <xdr:rowOff>38100</xdr:rowOff>
                  </from>
                  <to>
                    <xdr:col>37</xdr:col>
                    <xdr:colOff>323850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Check Box 77">
              <controlPr defaultSize="0" autoFill="0" autoLine="0" autoPict="0">
                <anchor moveWithCells="1">
                  <from>
                    <xdr:col>37</xdr:col>
                    <xdr:colOff>85725</xdr:colOff>
                    <xdr:row>29</xdr:row>
                    <xdr:rowOff>38100</xdr:rowOff>
                  </from>
                  <to>
                    <xdr:col>37</xdr:col>
                    <xdr:colOff>323850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Check Box 78">
              <controlPr defaultSize="0" autoFill="0" autoLine="0" autoPict="0">
                <anchor moveWithCells="1">
                  <from>
                    <xdr:col>37</xdr:col>
                    <xdr:colOff>85725</xdr:colOff>
                    <xdr:row>30</xdr:row>
                    <xdr:rowOff>38100</xdr:rowOff>
                  </from>
                  <to>
                    <xdr:col>37</xdr:col>
                    <xdr:colOff>323850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Check Box 79">
              <controlPr defaultSize="0" autoFill="0" autoLine="0" autoPict="0">
                <anchor moveWithCells="1">
                  <from>
                    <xdr:col>37</xdr:col>
                    <xdr:colOff>85725</xdr:colOff>
                    <xdr:row>31</xdr:row>
                    <xdr:rowOff>38100</xdr:rowOff>
                  </from>
                  <to>
                    <xdr:col>37</xdr:col>
                    <xdr:colOff>323850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Check Box 80">
              <controlPr defaultSize="0" autoFill="0" autoLine="0" autoPict="0">
                <anchor moveWithCells="1">
                  <from>
                    <xdr:col>37</xdr:col>
                    <xdr:colOff>85725</xdr:colOff>
                    <xdr:row>32</xdr:row>
                    <xdr:rowOff>38100</xdr:rowOff>
                  </from>
                  <to>
                    <xdr:col>37</xdr:col>
                    <xdr:colOff>323850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Check Box 81">
              <controlPr defaultSize="0" autoFill="0" autoLine="0" autoPict="0">
                <anchor moveWithCells="1">
                  <from>
                    <xdr:col>37</xdr:col>
                    <xdr:colOff>85725</xdr:colOff>
                    <xdr:row>33</xdr:row>
                    <xdr:rowOff>38100</xdr:rowOff>
                  </from>
                  <to>
                    <xdr:col>37</xdr:col>
                    <xdr:colOff>323850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Check Box 82">
              <controlPr defaultSize="0" autoFill="0" autoLine="0" autoPict="0">
                <anchor moveWithCells="1">
                  <from>
                    <xdr:col>37</xdr:col>
                    <xdr:colOff>85725</xdr:colOff>
                    <xdr:row>34</xdr:row>
                    <xdr:rowOff>38100</xdr:rowOff>
                  </from>
                  <to>
                    <xdr:col>37</xdr:col>
                    <xdr:colOff>323850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34" name="Check Box 83">
              <controlPr defaultSize="0" autoFill="0" autoLine="0" autoPict="0">
                <anchor moveWithCells="1">
                  <from>
                    <xdr:col>37</xdr:col>
                    <xdr:colOff>85725</xdr:colOff>
                    <xdr:row>35</xdr:row>
                    <xdr:rowOff>38100</xdr:rowOff>
                  </from>
                  <to>
                    <xdr:col>37</xdr:col>
                    <xdr:colOff>323850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35" name="Check Box 84">
              <controlPr defaultSize="0" autoFill="0" autoLine="0" autoPict="0">
                <anchor moveWithCells="1">
                  <from>
                    <xdr:col>37</xdr:col>
                    <xdr:colOff>85725</xdr:colOff>
                    <xdr:row>36</xdr:row>
                    <xdr:rowOff>38100</xdr:rowOff>
                  </from>
                  <to>
                    <xdr:col>37</xdr:col>
                    <xdr:colOff>323850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36" name="Check Box 85">
              <controlPr defaultSize="0" autoFill="0" autoLine="0" autoPict="0">
                <anchor moveWithCells="1">
                  <from>
                    <xdr:col>37</xdr:col>
                    <xdr:colOff>85725</xdr:colOff>
                    <xdr:row>37</xdr:row>
                    <xdr:rowOff>38100</xdr:rowOff>
                  </from>
                  <to>
                    <xdr:col>37</xdr:col>
                    <xdr:colOff>323850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37" name="Check Box 86">
              <controlPr defaultSize="0" autoFill="0" autoLine="0" autoPict="0">
                <anchor moveWithCells="1">
                  <from>
                    <xdr:col>37</xdr:col>
                    <xdr:colOff>85725</xdr:colOff>
                    <xdr:row>38</xdr:row>
                    <xdr:rowOff>38100</xdr:rowOff>
                  </from>
                  <to>
                    <xdr:col>37</xdr:col>
                    <xdr:colOff>323850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38" name="Check Box 87">
              <controlPr defaultSize="0" autoFill="0" autoLine="0" autoPict="0">
                <anchor moveWithCells="1">
                  <from>
                    <xdr:col>37</xdr:col>
                    <xdr:colOff>85725</xdr:colOff>
                    <xdr:row>39</xdr:row>
                    <xdr:rowOff>38100</xdr:rowOff>
                  </from>
                  <to>
                    <xdr:col>37</xdr:col>
                    <xdr:colOff>323850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39" name="Check Box 88">
              <controlPr defaultSize="0" autoFill="0" autoLine="0" autoPict="0">
                <anchor moveWithCells="1">
                  <from>
                    <xdr:col>37</xdr:col>
                    <xdr:colOff>85725</xdr:colOff>
                    <xdr:row>40</xdr:row>
                    <xdr:rowOff>38100</xdr:rowOff>
                  </from>
                  <to>
                    <xdr:col>37</xdr:col>
                    <xdr:colOff>323850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40" name="Check Box 89">
              <controlPr defaultSize="0" autoFill="0" autoLine="0" autoPict="0">
                <anchor moveWithCells="1">
                  <from>
                    <xdr:col>37</xdr:col>
                    <xdr:colOff>85725</xdr:colOff>
                    <xdr:row>41</xdr:row>
                    <xdr:rowOff>38100</xdr:rowOff>
                  </from>
                  <to>
                    <xdr:col>37</xdr:col>
                    <xdr:colOff>323850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41" name="Check Box 90">
              <controlPr defaultSize="0" autoFill="0" autoLine="0" autoPict="0">
                <anchor moveWithCells="1">
                  <from>
                    <xdr:col>37</xdr:col>
                    <xdr:colOff>85725</xdr:colOff>
                    <xdr:row>42</xdr:row>
                    <xdr:rowOff>38100</xdr:rowOff>
                  </from>
                  <to>
                    <xdr:col>37</xdr:col>
                    <xdr:colOff>323850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42" name="Check Box 91">
              <controlPr defaultSize="0" autoFill="0" autoLine="0" autoPict="0">
                <anchor moveWithCells="1">
                  <from>
                    <xdr:col>37</xdr:col>
                    <xdr:colOff>85725</xdr:colOff>
                    <xdr:row>43</xdr:row>
                    <xdr:rowOff>38100</xdr:rowOff>
                  </from>
                  <to>
                    <xdr:col>37</xdr:col>
                    <xdr:colOff>323850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43" name="Check Box 92">
              <controlPr defaultSize="0" autoFill="0" autoLine="0" autoPict="0">
                <anchor moveWithCells="1">
                  <from>
                    <xdr:col>37</xdr:col>
                    <xdr:colOff>85725</xdr:colOff>
                    <xdr:row>44</xdr:row>
                    <xdr:rowOff>38100</xdr:rowOff>
                  </from>
                  <to>
                    <xdr:col>37</xdr:col>
                    <xdr:colOff>323850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44" name="Check Box 93">
              <controlPr defaultSize="0" autoFill="0" autoLine="0" autoPict="0">
                <anchor moveWithCells="1">
                  <from>
                    <xdr:col>37</xdr:col>
                    <xdr:colOff>85725</xdr:colOff>
                    <xdr:row>45</xdr:row>
                    <xdr:rowOff>38100</xdr:rowOff>
                  </from>
                  <to>
                    <xdr:col>37</xdr:col>
                    <xdr:colOff>323850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45" name="Check Box 94">
              <controlPr defaultSize="0" autoFill="0" autoLine="0" autoPict="0">
                <anchor moveWithCells="1">
                  <from>
                    <xdr:col>37</xdr:col>
                    <xdr:colOff>85725</xdr:colOff>
                    <xdr:row>46</xdr:row>
                    <xdr:rowOff>38100</xdr:rowOff>
                  </from>
                  <to>
                    <xdr:col>37</xdr:col>
                    <xdr:colOff>323850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46" name="Check Box 95">
              <controlPr defaultSize="0" autoFill="0" autoLine="0" autoPict="0">
                <anchor moveWithCells="1">
                  <from>
                    <xdr:col>37</xdr:col>
                    <xdr:colOff>85725</xdr:colOff>
                    <xdr:row>47</xdr:row>
                    <xdr:rowOff>38100</xdr:rowOff>
                  </from>
                  <to>
                    <xdr:col>37</xdr:col>
                    <xdr:colOff>323850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47" name="Check Box 96">
              <controlPr defaultSize="0" autoFill="0" autoLine="0" autoPict="0">
                <anchor moveWithCells="1">
                  <from>
                    <xdr:col>37</xdr:col>
                    <xdr:colOff>85725</xdr:colOff>
                    <xdr:row>48</xdr:row>
                    <xdr:rowOff>38100</xdr:rowOff>
                  </from>
                  <to>
                    <xdr:col>37</xdr:col>
                    <xdr:colOff>323850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48" name="Check Box 97">
              <controlPr defaultSize="0" autoFill="0" autoLine="0" autoPict="0">
                <anchor moveWithCells="1">
                  <from>
                    <xdr:col>37</xdr:col>
                    <xdr:colOff>85725</xdr:colOff>
                    <xdr:row>49</xdr:row>
                    <xdr:rowOff>38100</xdr:rowOff>
                  </from>
                  <to>
                    <xdr:col>37</xdr:col>
                    <xdr:colOff>323850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49" name="Check Box 98">
              <controlPr defaultSize="0" autoFill="0" autoLine="0" autoPict="0">
                <anchor moveWithCells="1">
                  <from>
                    <xdr:col>37</xdr:col>
                    <xdr:colOff>85725</xdr:colOff>
                    <xdr:row>50</xdr:row>
                    <xdr:rowOff>38100</xdr:rowOff>
                  </from>
                  <to>
                    <xdr:col>37</xdr:col>
                    <xdr:colOff>323850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50" name="Check Box 99">
              <controlPr defaultSize="0" autoFill="0" autoLine="0" autoPict="0">
                <anchor moveWithCells="1">
                  <from>
                    <xdr:col>37</xdr:col>
                    <xdr:colOff>85725</xdr:colOff>
                    <xdr:row>51</xdr:row>
                    <xdr:rowOff>38100</xdr:rowOff>
                  </from>
                  <to>
                    <xdr:col>37</xdr:col>
                    <xdr:colOff>323850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1" name="Check Box 100">
              <controlPr defaultSize="0" autoFill="0" autoLine="0" autoPict="0">
                <anchor moveWithCells="1">
                  <from>
                    <xdr:col>37</xdr:col>
                    <xdr:colOff>85725</xdr:colOff>
                    <xdr:row>52</xdr:row>
                    <xdr:rowOff>38100</xdr:rowOff>
                  </from>
                  <to>
                    <xdr:col>37</xdr:col>
                    <xdr:colOff>323850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52" name="Check Box 101">
              <controlPr defaultSize="0" autoFill="0" autoLine="0" autoPict="0">
                <anchor moveWithCells="1">
                  <from>
                    <xdr:col>37</xdr:col>
                    <xdr:colOff>85725</xdr:colOff>
                    <xdr:row>53</xdr:row>
                    <xdr:rowOff>38100</xdr:rowOff>
                  </from>
                  <to>
                    <xdr:col>37</xdr:col>
                    <xdr:colOff>323850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3" name="Check Box 102">
              <controlPr defaultSize="0" autoFill="0" autoLine="0" autoPict="0">
                <anchor moveWithCells="1">
                  <from>
                    <xdr:col>37</xdr:col>
                    <xdr:colOff>85725</xdr:colOff>
                    <xdr:row>54</xdr:row>
                    <xdr:rowOff>38100</xdr:rowOff>
                  </from>
                  <to>
                    <xdr:col>37</xdr:col>
                    <xdr:colOff>323850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54" name="Check Box 103">
              <controlPr defaultSize="0" autoFill="0" autoLine="0" autoPict="0">
                <anchor moveWithCells="1">
                  <from>
                    <xdr:col>37</xdr:col>
                    <xdr:colOff>85725</xdr:colOff>
                    <xdr:row>55</xdr:row>
                    <xdr:rowOff>38100</xdr:rowOff>
                  </from>
                  <to>
                    <xdr:col>37</xdr:col>
                    <xdr:colOff>323850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55" name="Check Box 104">
              <controlPr defaultSize="0" autoFill="0" autoLine="0" autoPict="0">
                <anchor moveWithCells="1">
                  <from>
                    <xdr:col>37</xdr:col>
                    <xdr:colOff>85725</xdr:colOff>
                    <xdr:row>56</xdr:row>
                    <xdr:rowOff>38100</xdr:rowOff>
                  </from>
                  <to>
                    <xdr:col>37</xdr:col>
                    <xdr:colOff>323850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6" name="Check Box 105">
              <controlPr defaultSize="0" autoFill="0" autoLine="0" autoPict="0">
                <anchor moveWithCells="1">
                  <from>
                    <xdr:col>37</xdr:col>
                    <xdr:colOff>85725</xdr:colOff>
                    <xdr:row>57</xdr:row>
                    <xdr:rowOff>38100</xdr:rowOff>
                  </from>
                  <to>
                    <xdr:col>37</xdr:col>
                    <xdr:colOff>323850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57" name="Check Box 106">
              <controlPr defaultSize="0" autoFill="0" autoLine="0" autoPict="0">
                <anchor moveWithCells="1">
                  <from>
                    <xdr:col>37</xdr:col>
                    <xdr:colOff>85725</xdr:colOff>
                    <xdr:row>58</xdr:row>
                    <xdr:rowOff>38100</xdr:rowOff>
                  </from>
                  <to>
                    <xdr:col>37</xdr:col>
                    <xdr:colOff>323850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58" name="Check Box 107">
              <controlPr defaultSize="0" autoFill="0" autoLine="0" autoPict="0">
                <anchor moveWithCells="1">
                  <from>
                    <xdr:col>37</xdr:col>
                    <xdr:colOff>85725</xdr:colOff>
                    <xdr:row>59</xdr:row>
                    <xdr:rowOff>38100</xdr:rowOff>
                  </from>
                  <to>
                    <xdr:col>37</xdr:col>
                    <xdr:colOff>323850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59" name="Check Box 108">
              <controlPr defaultSize="0" autoFill="0" autoLine="0" autoPict="0">
                <anchor moveWithCells="1">
                  <from>
                    <xdr:col>37</xdr:col>
                    <xdr:colOff>85725</xdr:colOff>
                    <xdr:row>60</xdr:row>
                    <xdr:rowOff>38100</xdr:rowOff>
                  </from>
                  <to>
                    <xdr:col>37</xdr:col>
                    <xdr:colOff>323850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60" name="Check Box 109">
              <controlPr defaultSize="0" autoFill="0" autoLine="0" autoPict="0">
                <anchor moveWithCells="1">
                  <from>
                    <xdr:col>37</xdr:col>
                    <xdr:colOff>85725</xdr:colOff>
                    <xdr:row>61</xdr:row>
                    <xdr:rowOff>38100</xdr:rowOff>
                  </from>
                  <to>
                    <xdr:col>37</xdr:col>
                    <xdr:colOff>323850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61" name="Check Box 110">
              <controlPr defaultSize="0" autoFill="0" autoLine="0" autoPict="0">
                <anchor moveWithCells="1">
                  <from>
                    <xdr:col>37</xdr:col>
                    <xdr:colOff>85725</xdr:colOff>
                    <xdr:row>62</xdr:row>
                    <xdr:rowOff>38100</xdr:rowOff>
                  </from>
                  <to>
                    <xdr:col>37</xdr:col>
                    <xdr:colOff>323850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62" name="Check Box 111">
              <controlPr defaultSize="0" autoFill="0" autoLine="0" autoPict="0">
                <anchor moveWithCells="1">
                  <from>
                    <xdr:col>37</xdr:col>
                    <xdr:colOff>85725</xdr:colOff>
                    <xdr:row>63</xdr:row>
                    <xdr:rowOff>38100</xdr:rowOff>
                  </from>
                  <to>
                    <xdr:col>37</xdr:col>
                    <xdr:colOff>323850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63" name="Check Box 112">
              <controlPr defaultSize="0" autoFill="0" autoLine="0" autoPict="0">
                <anchor moveWithCells="1">
                  <from>
                    <xdr:col>37</xdr:col>
                    <xdr:colOff>85725</xdr:colOff>
                    <xdr:row>64</xdr:row>
                    <xdr:rowOff>38100</xdr:rowOff>
                  </from>
                  <to>
                    <xdr:col>37</xdr:col>
                    <xdr:colOff>323850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4" name="Check Box 113">
              <controlPr defaultSize="0" autoFill="0" autoLine="0" autoPict="0">
                <anchor moveWithCells="1">
                  <from>
                    <xdr:col>37</xdr:col>
                    <xdr:colOff>85725</xdr:colOff>
                    <xdr:row>65</xdr:row>
                    <xdr:rowOff>38100</xdr:rowOff>
                  </from>
                  <to>
                    <xdr:col>37</xdr:col>
                    <xdr:colOff>323850</xdr:colOff>
                    <xdr:row>65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BB181-7C21-497A-9F4A-567200C0E805}">
  <sheetPr codeName="Hoja5"/>
  <dimension ref="A1:E6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9.140625" bestFit="1" customWidth="1"/>
    <col min="2" max="2" width="9.5703125" bestFit="1" customWidth="1"/>
    <col min="3" max="3" width="5.42578125" bestFit="1" customWidth="1"/>
    <col min="4" max="4" width="18.85546875" bestFit="1" customWidth="1"/>
    <col min="5" max="5" width="18.42578125" bestFit="1" customWidth="1"/>
  </cols>
  <sheetData>
    <row r="1" spans="1:5" x14ac:dyDescent="0.25">
      <c r="A1" s="5" t="s">
        <v>4</v>
      </c>
      <c r="B1" s="5" t="s">
        <v>5</v>
      </c>
      <c r="C1" s="5" t="s">
        <v>6</v>
      </c>
      <c r="D1" s="5" t="s">
        <v>7</v>
      </c>
      <c r="E1" s="5" t="s">
        <v>8</v>
      </c>
    </row>
    <row r="2" spans="1:5" x14ac:dyDescent="0.25">
      <c r="A2" s="6"/>
      <c r="B2" s="6"/>
      <c r="C2" s="7"/>
      <c r="D2" s="7"/>
      <c r="E2" s="7"/>
    </row>
    <row r="3" spans="1:5" x14ac:dyDescent="0.25">
      <c r="A3" s="6"/>
      <c r="B3" s="6"/>
      <c r="C3" s="7"/>
      <c r="D3" s="7"/>
      <c r="E3" s="7"/>
    </row>
    <row r="4" spans="1:5" x14ac:dyDescent="0.25">
      <c r="A4" s="6"/>
      <c r="B4" s="6"/>
      <c r="C4" s="7"/>
      <c r="D4" s="7"/>
      <c r="E4" s="7"/>
    </row>
    <row r="5" spans="1:5" x14ac:dyDescent="0.25">
      <c r="A5" s="6"/>
      <c r="B5" s="6"/>
      <c r="C5" s="7"/>
      <c r="D5" s="7"/>
      <c r="E5" s="7"/>
    </row>
    <row r="6" spans="1:5" x14ac:dyDescent="0.25">
      <c r="A6" s="6"/>
      <c r="B6" s="6"/>
      <c r="C6" s="7"/>
      <c r="D6" s="7"/>
      <c r="E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EB93-4B09-49D1-8ED3-B53005CD560C}">
  <sheetPr codeName="Hoja3"/>
  <dimension ref="A1:I39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22.42578125" customWidth="1"/>
    <col min="2" max="2" width="10.85546875" bestFit="1" customWidth="1"/>
    <col min="3" max="3" width="16" bestFit="1" customWidth="1"/>
    <col min="4" max="4" width="14.28515625" bestFit="1" customWidth="1"/>
    <col min="5" max="5" width="14.7109375" bestFit="1" customWidth="1"/>
    <col min="6" max="6" width="45.28515625" bestFit="1" customWidth="1"/>
    <col min="7" max="7" width="12.42578125" bestFit="1" customWidth="1"/>
    <col min="8" max="8" width="17.5703125" bestFit="1" customWidth="1"/>
    <col min="9" max="9" width="21.42578125" bestFit="1" customWidth="1"/>
  </cols>
  <sheetData>
    <row r="1" spans="1:9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</row>
    <row r="27" spans="1:9" x14ac:dyDescent="0.25">
      <c r="A27" s="2"/>
      <c r="B27" s="3"/>
      <c r="C27" s="3"/>
      <c r="D27" s="2"/>
      <c r="E27" s="3"/>
      <c r="F27" s="2"/>
      <c r="G27" s="3"/>
      <c r="H27" s="3"/>
      <c r="I27" s="3"/>
    </row>
    <row r="28" spans="1:9" x14ac:dyDescent="0.25">
      <c r="A28" s="2"/>
      <c r="B28" s="3"/>
      <c r="C28" s="3"/>
      <c r="D28" s="2"/>
      <c r="E28" s="3"/>
      <c r="F28" s="2"/>
      <c r="G28" s="3"/>
      <c r="H28" s="3"/>
      <c r="I28" s="3"/>
    </row>
    <row r="29" spans="1:9" x14ac:dyDescent="0.25">
      <c r="A29" s="2"/>
      <c r="B29" s="3"/>
      <c r="C29" s="3"/>
      <c r="D29" s="2"/>
      <c r="E29" s="3"/>
      <c r="F29" s="2"/>
      <c r="G29" s="3"/>
      <c r="H29" s="3"/>
      <c r="I29" s="3"/>
    </row>
    <row r="30" spans="1:9" x14ac:dyDescent="0.25">
      <c r="A30" s="2"/>
      <c r="B30" s="3"/>
      <c r="C30" s="3"/>
      <c r="D30" s="2"/>
      <c r="E30" s="3"/>
      <c r="F30" s="2"/>
      <c r="G30" s="3"/>
      <c r="H30" s="3"/>
      <c r="I30" s="3"/>
    </row>
    <row r="31" spans="1:9" x14ac:dyDescent="0.25">
      <c r="A31" s="2"/>
      <c r="B31" s="3"/>
      <c r="C31" s="3"/>
      <c r="D31" s="2"/>
      <c r="E31" s="3"/>
      <c r="F31" s="2"/>
      <c r="G31" s="3"/>
      <c r="H31" s="3"/>
      <c r="I31" s="3"/>
    </row>
    <row r="32" spans="1:9" x14ac:dyDescent="0.25">
      <c r="A32" s="2"/>
      <c r="B32" s="3"/>
      <c r="C32" s="3"/>
      <c r="D32" s="2"/>
      <c r="E32" s="3"/>
      <c r="F32" s="2"/>
      <c r="G32" s="3"/>
      <c r="H32" s="3"/>
      <c r="I32" s="3"/>
    </row>
    <row r="33" spans="1:9" x14ac:dyDescent="0.25">
      <c r="A33" s="2"/>
      <c r="B33" s="3"/>
      <c r="C33" s="3"/>
      <c r="D33" s="2"/>
      <c r="E33" s="3"/>
      <c r="F33" s="2"/>
      <c r="G33" s="3"/>
      <c r="H33" s="3"/>
      <c r="I33" s="3"/>
    </row>
    <row r="34" spans="1:9" x14ac:dyDescent="0.25">
      <c r="A34" s="2"/>
      <c r="B34" s="3"/>
      <c r="C34" s="3"/>
      <c r="D34" s="2"/>
      <c r="E34" s="3"/>
      <c r="F34" s="2"/>
      <c r="G34" s="3"/>
      <c r="H34" s="3"/>
      <c r="I34" s="3"/>
    </row>
    <row r="35" spans="1:9" x14ac:dyDescent="0.25">
      <c r="A35" s="2"/>
      <c r="B35" s="3"/>
      <c r="C35" s="3"/>
      <c r="D35" s="2"/>
      <c r="E35" s="3"/>
      <c r="F35" s="2"/>
      <c r="G35" s="3"/>
      <c r="H35" s="3"/>
      <c r="I35" s="3"/>
    </row>
    <row r="36" spans="1:9" x14ac:dyDescent="0.25">
      <c r="A36" s="2"/>
      <c r="B36" s="3"/>
      <c r="C36" s="3"/>
      <c r="D36" s="2"/>
      <c r="E36" s="3"/>
      <c r="F36" s="2"/>
      <c r="G36" s="3"/>
      <c r="H36" s="3"/>
      <c r="I36" s="3"/>
    </row>
    <row r="37" spans="1:9" x14ac:dyDescent="0.25">
      <c r="A37" s="2"/>
      <c r="B37" s="3"/>
      <c r="C37" s="3"/>
      <c r="D37" s="2"/>
      <c r="E37" s="3"/>
      <c r="F37" s="2"/>
      <c r="G37" s="3"/>
      <c r="H37" s="3"/>
      <c r="I37" s="3"/>
    </row>
    <row r="38" spans="1:9" x14ac:dyDescent="0.25">
      <c r="A38" s="2"/>
      <c r="B38" s="3"/>
      <c r="C38" s="3"/>
      <c r="D38" s="2"/>
      <c r="E38" s="3"/>
      <c r="F38" s="2"/>
      <c r="G38" s="3"/>
      <c r="H38" s="3"/>
      <c r="I38" s="3"/>
    </row>
    <row r="39" spans="1:9" x14ac:dyDescent="0.25">
      <c r="A39" s="2"/>
      <c r="B39" s="3"/>
      <c r="C39" s="3"/>
      <c r="D39" s="2"/>
      <c r="E39" s="3"/>
      <c r="F39" s="2"/>
      <c r="G39" s="3"/>
      <c r="H39" s="3"/>
      <c r="I39" s="3"/>
    </row>
  </sheetData>
  <autoFilter ref="A1:I37" xr:uid="{68F7EB93-4B09-49D1-8ED3-B53005CD560C}"/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272C-BD31-499E-A274-4850D86BBD2A}">
  <sheetPr codeName="Hoja4"/>
  <dimension ref="A1:M3"/>
  <sheetViews>
    <sheetView workbookViewId="0">
      <selection activeCell="C17" sqref="C17"/>
    </sheetView>
  </sheetViews>
  <sheetFormatPr baseColWidth="10" defaultColWidth="11.42578125" defaultRowHeight="15" x14ac:dyDescent="0.25"/>
  <cols>
    <col min="3" max="3" width="11.85546875" bestFit="1" customWidth="1"/>
  </cols>
  <sheetData>
    <row r="1" spans="1:13" x14ac:dyDescent="0.25">
      <c r="A1" t="str" cm="1">
        <f t="array" ref="A1:A2">IF(_xlfn.UNIQUE(item!B:B)=0,"",_xlfn.UNIQUE(item!B:B))</f>
        <v>forma</v>
      </c>
      <c r="B1" t="str" cm="1">
        <f t="array" ref="B1:B2">IF(_xlfn.UNIQUE(item!C:C)=0,"",_xlfn.UNIQUE(item!C:C))</f>
        <v>item_orden</v>
      </c>
      <c r="C1" t="s">
        <v>17</v>
      </c>
      <c r="D1" t="s">
        <v>12</v>
      </c>
      <c r="E1" t="str" cm="1">
        <f t="array" ref="E1:E2">IF(_xlfn.UNIQUE(item!F1:F993)=0,"",_xlfn.UNIQUE(item!F1:F993))</f>
        <v>item_nombre</v>
      </c>
      <c r="F1" t="s">
        <v>18</v>
      </c>
      <c r="G1" t="s">
        <v>19</v>
      </c>
      <c r="J1" t="s">
        <v>20</v>
      </c>
      <c r="K1" t="s">
        <v>21</v>
      </c>
      <c r="L1" t="s">
        <v>22</v>
      </c>
      <c r="M1" t="s">
        <v>23</v>
      </c>
    </row>
    <row r="2" spans="1:13" x14ac:dyDescent="0.25">
      <c r="A2" t="str">
        <v/>
      </c>
      <c r="B2" t="str">
        <v/>
      </c>
      <c r="C2" t="str" cm="1">
        <f t="array" aca="1" ref="C2:C3" ca="1">_xlfn.XLOOKUP(INDIRECT("B2:B"&amp;L2+1),item!C2:C1000,item!H2:H1000,"",0,1)</f>
        <v/>
      </c>
      <c r="D2" t="str" cm="1">
        <f t="array" aca="1" ref="D2:D3" ca="1">_xlfn.XLOOKUP(INDIRECT("B2:B"&amp;L2+1),item!C2:C1000,item!E2:E1000,"",0,1)</f>
        <v/>
      </c>
      <c r="E2" t="str">
        <v/>
      </c>
      <c r="F2" t="str" cm="1">
        <f t="array" aca="1" ref="F2:F3" ca="1">_xlfn.XLOOKUP(INDIRECT("B2:B"&amp;L2+1),item!C2:C1000,item!D2:D1000,"",0,1)</f>
        <v/>
      </c>
      <c r="G2" t="str" cm="1">
        <f t="array" aca="1" ref="G2:G3" ca="1">_xlfn.XLOOKUP(INDIRECT("B2:B"&amp;L2+1),item!C2:C1000,item!I2:I1000,"",0,1)</f>
        <v/>
      </c>
      <c r="J2">
        <f>MAX(item!B:B)</f>
        <v>0</v>
      </c>
      <c r="K2">
        <f>MAX(escala!B2:B10)</f>
        <v>0</v>
      </c>
      <c r="L2">
        <f>COUNTA(B1:B101)-2</f>
        <v>0</v>
      </c>
      <c r="M2">
        <v>0</v>
      </c>
    </row>
    <row r="3" spans="1:13" x14ac:dyDescent="0.25">
      <c r="C3" t="str">
        <f ca="1"/>
        <v/>
      </c>
      <c r="D3" t="str">
        <f ca="1"/>
        <v/>
      </c>
      <c r="F3" t="str">
        <f ca="1"/>
        <v/>
      </c>
      <c r="G3" t="str">
        <f ca="1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89CA-D144-40E4-8667-C19CF649C344}">
  <sheetPr codeName="Hoja6"/>
  <dimension ref="A1:Q2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18.42578125" bestFit="1" customWidth="1"/>
    <col min="2" max="2" width="8.85546875" bestFit="1" customWidth="1"/>
    <col min="5" max="5" width="12.28515625" bestFit="1" customWidth="1"/>
    <col min="6" max="6" width="15.28515625" bestFit="1" customWidth="1"/>
    <col min="8" max="8" width="10.85546875" bestFit="1" customWidth="1"/>
    <col min="12" max="12" width="79.28515625" bestFit="1" customWidth="1"/>
    <col min="13" max="13" width="13.7109375" bestFit="1" customWidth="1"/>
  </cols>
  <sheetData>
    <row r="1" spans="1:17" x14ac:dyDescent="0.25">
      <c r="A1" s="4" t="s">
        <v>8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  <c r="N1" s="4" t="s">
        <v>3</v>
      </c>
      <c r="O1" s="4" t="s">
        <v>36</v>
      </c>
      <c r="P1" s="8" t="s">
        <v>37</v>
      </c>
      <c r="Q1" s="8" t="s">
        <v>38</v>
      </c>
    </row>
    <row r="2" spans="1:17" x14ac:dyDescent="0.25">
      <c r="M2" s="1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SECCION</vt:lpstr>
      <vt:lpstr>escala</vt:lpstr>
      <vt:lpstr>item</vt:lpstr>
      <vt:lpstr>datos</vt:lpstr>
      <vt:lpstr>Eval</vt:lpstr>
      <vt:lpstr>SECCION!Área_de_impresión</vt:lpstr>
      <vt:lpstr>escala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rleall</dc:creator>
  <cp:keywords/>
  <dc:description/>
  <cp:lastModifiedBy>Leandro Gutierrez A.</cp:lastModifiedBy>
  <cp:revision/>
  <dcterms:created xsi:type="dcterms:W3CDTF">2011-09-13T21:15:38Z</dcterms:created>
  <dcterms:modified xsi:type="dcterms:W3CDTF">2024-11-11T19:27:50Z</dcterms:modified>
  <cp:category/>
  <cp:contentStatus/>
</cp:coreProperties>
</file>
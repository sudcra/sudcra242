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dcraultra\templates\"/>
    </mc:Choice>
  </mc:AlternateContent>
  <xr:revisionPtr revIDLastSave="0" documentId="13_ncr:1_{84A6A316-66BE-4BFF-A6D6-D2BEE1148D14}" xr6:coauthVersionLast="47" xr6:coauthVersionMax="47" xr10:uidLastSave="{00000000-0000-0000-0000-000000000000}"/>
  <bookViews>
    <workbookView xWindow="-120" yWindow="-120" windowWidth="19440" windowHeight="10440" activeTab="1" xr2:uid="{00000000-000D-0000-FFFF-FFFF00000000}"/>
  </bookViews>
  <sheets>
    <sheet name="SECCION" sheetId="1" r:id="rId1"/>
    <sheet name="Hoja1" sheetId="2" r:id="rId2"/>
  </sheets>
  <definedNames>
    <definedName name="_xlnm.Print_Area" localSheetId="0">SECCION!$A$1:$DV$59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M11" i="1" l="1"/>
  <c r="BN11" i="1"/>
  <c r="BO11" i="1"/>
  <c r="BP11" i="1"/>
  <c r="BQ11" i="1"/>
  <c r="BR11" i="1"/>
  <c r="BS11" i="1"/>
  <c r="BT11" i="1"/>
  <c r="BU11" i="1"/>
  <c r="BV11" i="1"/>
  <c r="BW11" i="1"/>
  <c r="BX11" i="1"/>
  <c r="BY11" i="1"/>
  <c r="BZ11" i="1"/>
  <c r="CA11" i="1"/>
  <c r="CB11" i="1"/>
  <c r="CC11" i="1"/>
  <c r="CD11" i="1"/>
  <c r="CE11" i="1"/>
  <c r="CF11" i="1"/>
  <c r="CG11" i="1"/>
  <c r="CH11" i="1"/>
  <c r="CI11" i="1"/>
  <c r="CJ11" i="1"/>
  <c r="CK11" i="1"/>
  <c r="CL11" i="1"/>
  <c r="CM11" i="1"/>
  <c r="CN11" i="1"/>
  <c r="CO11" i="1"/>
  <c r="CP11" i="1"/>
  <c r="CQ11" i="1"/>
  <c r="CR11" i="1"/>
  <c r="CS11" i="1"/>
  <c r="CT11" i="1"/>
  <c r="CU11" i="1"/>
  <c r="CV11" i="1"/>
  <c r="CW11" i="1"/>
  <c r="CX11" i="1"/>
  <c r="CY11" i="1"/>
  <c r="CZ11" i="1"/>
  <c r="DA11" i="1"/>
  <c r="DB11" i="1"/>
  <c r="DC11" i="1"/>
  <c r="DD11" i="1"/>
  <c r="DE11" i="1"/>
  <c r="DF11" i="1"/>
  <c r="DG11" i="1"/>
  <c r="DH11" i="1"/>
  <c r="DI11" i="1"/>
  <c r="DJ11" i="1"/>
  <c r="DK11" i="1"/>
  <c r="DL11" i="1"/>
  <c r="DM11" i="1"/>
  <c r="DN11" i="1"/>
  <c r="DO11" i="1"/>
  <c r="DP11" i="1"/>
  <c r="DQ11" i="1"/>
  <c r="DR11" i="1"/>
  <c r="DS11" i="1"/>
  <c r="DT11" i="1"/>
  <c r="BM12" i="1"/>
  <c r="BN12" i="1"/>
  <c r="BO12" i="1"/>
  <c r="BP12" i="1"/>
  <c r="BQ12" i="1"/>
  <c r="BR12" i="1"/>
  <c r="BS12" i="1"/>
  <c r="BT12" i="1"/>
  <c r="BU12" i="1"/>
  <c r="BV12" i="1"/>
  <c r="BW12" i="1"/>
  <c r="BX12" i="1"/>
  <c r="BY12" i="1"/>
  <c r="BZ12" i="1"/>
  <c r="CA12" i="1"/>
  <c r="CB12" i="1"/>
  <c r="CC12" i="1"/>
  <c r="CD12" i="1"/>
  <c r="CE12" i="1"/>
  <c r="CF12" i="1"/>
  <c r="CG12" i="1"/>
  <c r="CH12" i="1"/>
  <c r="CI12" i="1"/>
  <c r="CJ12" i="1"/>
  <c r="CK12" i="1"/>
  <c r="CL12" i="1"/>
  <c r="CM12" i="1"/>
  <c r="CN12" i="1"/>
  <c r="CO12" i="1"/>
  <c r="CP12" i="1"/>
  <c r="CQ12" i="1"/>
  <c r="CR12" i="1"/>
  <c r="CS12" i="1"/>
  <c r="CT12" i="1"/>
  <c r="CU12" i="1"/>
  <c r="CV12" i="1"/>
  <c r="CW12" i="1"/>
  <c r="CX12" i="1"/>
  <c r="CY12" i="1"/>
  <c r="CZ12" i="1"/>
  <c r="DA12" i="1"/>
  <c r="DB12" i="1"/>
  <c r="DC12" i="1"/>
  <c r="DD12" i="1"/>
  <c r="DE12" i="1"/>
  <c r="DF12" i="1"/>
  <c r="DG12" i="1"/>
  <c r="DH12" i="1"/>
  <c r="DI12" i="1"/>
  <c r="DJ12" i="1"/>
  <c r="DK12" i="1"/>
  <c r="DL12" i="1"/>
  <c r="DM12" i="1"/>
  <c r="DN12" i="1"/>
  <c r="DO12" i="1"/>
  <c r="DP12" i="1"/>
  <c r="DQ12" i="1"/>
  <c r="DR12" i="1"/>
  <c r="DS12" i="1"/>
  <c r="DT12" i="1"/>
  <c r="BM13" i="1"/>
  <c r="BN13" i="1"/>
  <c r="BO13" i="1"/>
  <c r="BP13" i="1"/>
  <c r="BQ13" i="1"/>
  <c r="BR13" i="1"/>
  <c r="BS13" i="1"/>
  <c r="BT13" i="1"/>
  <c r="BU13" i="1"/>
  <c r="BV13" i="1"/>
  <c r="BW13" i="1"/>
  <c r="BX13" i="1"/>
  <c r="BY13" i="1"/>
  <c r="BZ13" i="1"/>
  <c r="CA13" i="1"/>
  <c r="CB13" i="1"/>
  <c r="CC13" i="1"/>
  <c r="CD13" i="1"/>
  <c r="CE13" i="1"/>
  <c r="CF13" i="1"/>
  <c r="CG13" i="1"/>
  <c r="CH13" i="1"/>
  <c r="CI13" i="1"/>
  <c r="CJ13" i="1"/>
  <c r="CK13" i="1"/>
  <c r="CL13" i="1"/>
  <c r="CM13" i="1"/>
  <c r="CN13" i="1"/>
  <c r="CO13" i="1"/>
  <c r="CP13" i="1"/>
  <c r="CQ13" i="1"/>
  <c r="CR13" i="1"/>
  <c r="CS13" i="1"/>
  <c r="CT13" i="1"/>
  <c r="CU13" i="1"/>
  <c r="CV13" i="1"/>
  <c r="CW13" i="1"/>
  <c r="CX13" i="1"/>
  <c r="CY13" i="1"/>
  <c r="CZ13" i="1"/>
  <c r="DA13" i="1"/>
  <c r="DB13" i="1"/>
  <c r="DC13" i="1"/>
  <c r="DD13" i="1"/>
  <c r="DE13" i="1"/>
  <c r="DF13" i="1"/>
  <c r="DG13" i="1"/>
  <c r="DH13" i="1"/>
  <c r="DI13" i="1"/>
  <c r="DJ13" i="1"/>
  <c r="DK13" i="1"/>
  <c r="DL13" i="1"/>
  <c r="DM13" i="1"/>
  <c r="DN13" i="1"/>
  <c r="DO13" i="1"/>
  <c r="DP13" i="1"/>
  <c r="DQ13" i="1"/>
  <c r="DR13" i="1"/>
  <c r="DS13" i="1"/>
  <c r="DT13" i="1"/>
  <c r="BM14" i="1"/>
  <c r="BN14" i="1"/>
  <c r="BO14" i="1"/>
  <c r="BP14" i="1"/>
  <c r="BQ14" i="1"/>
  <c r="BR14" i="1"/>
  <c r="BS14" i="1"/>
  <c r="BT14" i="1"/>
  <c r="BU14" i="1"/>
  <c r="BV14" i="1"/>
  <c r="BW14" i="1"/>
  <c r="BX14" i="1"/>
  <c r="BY14" i="1"/>
  <c r="BZ14" i="1"/>
  <c r="CA14" i="1"/>
  <c r="CB14" i="1"/>
  <c r="CC14" i="1"/>
  <c r="CD14" i="1"/>
  <c r="CE14" i="1"/>
  <c r="CF14" i="1"/>
  <c r="CG14" i="1"/>
  <c r="CH14" i="1"/>
  <c r="CI14" i="1"/>
  <c r="CJ14" i="1"/>
  <c r="CK14" i="1"/>
  <c r="CL14" i="1"/>
  <c r="CM14" i="1"/>
  <c r="CN14" i="1"/>
  <c r="CO14" i="1"/>
  <c r="CP14" i="1"/>
  <c r="CQ14" i="1"/>
  <c r="CR14" i="1"/>
  <c r="CS14" i="1"/>
  <c r="CT14" i="1"/>
  <c r="CU14" i="1"/>
  <c r="CV14" i="1"/>
  <c r="CW14" i="1"/>
  <c r="CX14" i="1"/>
  <c r="CY14" i="1"/>
  <c r="CZ14" i="1"/>
  <c r="DA14" i="1"/>
  <c r="DB14" i="1"/>
  <c r="DC14" i="1"/>
  <c r="DD14" i="1"/>
  <c r="DE14" i="1"/>
  <c r="DF14" i="1"/>
  <c r="DG14" i="1"/>
  <c r="DH14" i="1"/>
  <c r="DI14" i="1"/>
  <c r="DJ14" i="1"/>
  <c r="DK14" i="1"/>
  <c r="DL14" i="1"/>
  <c r="DM14" i="1"/>
  <c r="DN14" i="1"/>
  <c r="DO14" i="1"/>
  <c r="DP14" i="1"/>
  <c r="DQ14" i="1"/>
  <c r="DR14" i="1"/>
  <c r="DS14" i="1"/>
  <c r="DT14" i="1"/>
  <c r="BM15" i="1"/>
  <c r="BN15" i="1"/>
  <c r="BO15" i="1"/>
  <c r="BP15" i="1"/>
  <c r="BQ15" i="1"/>
  <c r="BR15" i="1"/>
  <c r="BS15" i="1"/>
  <c r="BT15" i="1"/>
  <c r="BU15" i="1"/>
  <c r="BV15" i="1"/>
  <c r="BW15" i="1"/>
  <c r="BX15" i="1"/>
  <c r="BY15" i="1"/>
  <c r="BZ15" i="1"/>
  <c r="CA15" i="1"/>
  <c r="CB15" i="1"/>
  <c r="CC15" i="1"/>
  <c r="CD15" i="1"/>
  <c r="CE15" i="1"/>
  <c r="CF15" i="1"/>
  <c r="CG15" i="1"/>
  <c r="CH15" i="1"/>
  <c r="CI15" i="1"/>
  <c r="CJ15" i="1"/>
  <c r="CK15" i="1"/>
  <c r="CL15" i="1"/>
  <c r="CM15" i="1"/>
  <c r="CN15" i="1"/>
  <c r="CO15" i="1"/>
  <c r="CP15" i="1"/>
  <c r="CQ15" i="1"/>
  <c r="CR15" i="1"/>
  <c r="CS15" i="1"/>
  <c r="CT15" i="1"/>
  <c r="CU15" i="1"/>
  <c r="CV15" i="1"/>
  <c r="CW15" i="1"/>
  <c r="CX15" i="1"/>
  <c r="CY15" i="1"/>
  <c r="CZ15" i="1"/>
  <c r="DA15" i="1"/>
  <c r="DB15" i="1"/>
  <c r="DC15" i="1"/>
  <c r="DD15" i="1"/>
  <c r="DE15" i="1"/>
  <c r="DF15" i="1"/>
  <c r="DG15" i="1"/>
  <c r="DH15" i="1"/>
  <c r="DI15" i="1"/>
  <c r="DJ15" i="1"/>
  <c r="DK15" i="1"/>
  <c r="DL15" i="1"/>
  <c r="DM15" i="1"/>
  <c r="DN15" i="1"/>
  <c r="DO15" i="1"/>
  <c r="DP15" i="1"/>
  <c r="DQ15" i="1"/>
  <c r="DR15" i="1"/>
  <c r="DS15" i="1"/>
  <c r="DT15" i="1"/>
  <c r="BM16" i="1"/>
  <c r="BN16" i="1"/>
  <c r="BO16" i="1"/>
  <c r="BP16" i="1"/>
  <c r="BQ16" i="1"/>
  <c r="BR16" i="1"/>
  <c r="BS16" i="1"/>
  <c r="BT16" i="1"/>
  <c r="BU16" i="1"/>
  <c r="BV16" i="1"/>
  <c r="BW16" i="1"/>
  <c r="BX16" i="1"/>
  <c r="BY16" i="1"/>
  <c r="BZ16" i="1"/>
  <c r="CA16" i="1"/>
  <c r="CB16" i="1"/>
  <c r="CC16" i="1"/>
  <c r="CD16" i="1"/>
  <c r="CE16" i="1"/>
  <c r="CF16" i="1"/>
  <c r="CG16" i="1"/>
  <c r="CH16" i="1"/>
  <c r="CI16" i="1"/>
  <c r="CJ16" i="1"/>
  <c r="CK16" i="1"/>
  <c r="CL16" i="1"/>
  <c r="CM16" i="1"/>
  <c r="CN16" i="1"/>
  <c r="CO16" i="1"/>
  <c r="CP16" i="1"/>
  <c r="CQ16" i="1"/>
  <c r="CR16" i="1"/>
  <c r="CS16" i="1"/>
  <c r="CT16" i="1"/>
  <c r="CU16" i="1"/>
  <c r="CV16" i="1"/>
  <c r="CW16" i="1"/>
  <c r="CX16" i="1"/>
  <c r="CY16" i="1"/>
  <c r="CZ16" i="1"/>
  <c r="DA16" i="1"/>
  <c r="DB16" i="1"/>
  <c r="DC16" i="1"/>
  <c r="DD16" i="1"/>
  <c r="DE16" i="1"/>
  <c r="DF16" i="1"/>
  <c r="DG16" i="1"/>
  <c r="DH16" i="1"/>
  <c r="DI16" i="1"/>
  <c r="DJ16" i="1"/>
  <c r="DK16" i="1"/>
  <c r="DL16" i="1"/>
  <c r="DM16" i="1"/>
  <c r="DN16" i="1"/>
  <c r="DO16" i="1"/>
  <c r="DP16" i="1"/>
  <c r="DQ16" i="1"/>
  <c r="DR16" i="1"/>
  <c r="DS16" i="1"/>
  <c r="DT16" i="1"/>
  <c r="BM17" i="1"/>
  <c r="BN17" i="1"/>
  <c r="BO17" i="1"/>
  <c r="BP17" i="1"/>
  <c r="BQ17" i="1"/>
  <c r="BR17" i="1"/>
  <c r="BS17" i="1"/>
  <c r="BT17" i="1"/>
  <c r="BU17" i="1"/>
  <c r="BV17" i="1"/>
  <c r="BW17" i="1"/>
  <c r="BX17" i="1"/>
  <c r="BY17" i="1"/>
  <c r="BZ17" i="1"/>
  <c r="CA17" i="1"/>
  <c r="CB17" i="1"/>
  <c r="CC17" i="1"/>
  <c r="CD17" i="1"/>
  <c r="CE17" i="1"/>
  <c r="CF17" i="1"/>
  <c r="CG17" i="1"/>
  <c r="CH17" i="1"/>
  <c r="CI17" i="1"/>
  <c r="CJ17" i="1"/>
  <c r="CK17" i="1"/>
  <c r="CL17" i="1"/>
  <c r="CM17" i="1"/>
  <c r="CN17" i="1"/>
  <c r="CO17" i="1"/>
  <c r="CP17" i="1"/>
  <c r="CQ17" i="1"/>
  <c r="CR17" i="1"/>
  <c r="CS17" i="1"/>
  <c r="CT17" i="1"/>
  <c r="CU17" i="1"/>
  <c r="CV17" i="1"/>
  <c r="CW17" i="1"/>
  <c r="CX17" i="1"/>
  <c r="CY17" i="1"/>
  <c r="CZ17" i="1"/>
  <c r="DA17" i="1"/>
  <c r="DB17" i="1"/>
  <c r="DC17" i="1"/>
  <c r="DD17" i="1"/>
  <c r="DE17" i="1"/>
  <c r="DF17" i="1"/>
  <c r="DG17" i="1"/>
  <c r="DH17" i="1"/>
  <c r="DI17" i="1"/>
  <c r="DJ17" i="1"/>
  <c r="DK17" i="1"/>
  <c r="DL17" i="1"/>
  <c r="DM17" i="1"/>
  <c r="DN17" i="1"/>
  <c r="DO17" i="1"/>
  <c r="DP17" i="1"/>
  <c r="DQ17" i="1"/>
  <c r="DR17" i="1"/>
  <c r="DS17" i="1"/>
  <c r="DT17" i="1"/>
  <c r="BM18" i="1"/>
  <c r="BN18" i="1"/>
  <c r="BO18" i="1"/>
  <c r="BP18" i="1"/>
  <c r="BQ18" i="1"/>
  <c r="BR18" i="1"/>
  <c r="BS18" i="1"/>
  <c r="BT18" i="1"/>
  <c r="BU18" i="1"/>
  <c r="BV18" i="1"/>
  <c r="BW18" i="1"/>
  <c r="BX18" i="1"/>
  <c r="BY18" i="1"/>
  <c r="BZ18" i="1"/>
  <c r="CA18" i="1"/>
  <c r="CB18" i="1"/>
  <c r="CC18" i="1"/>
  <c r="CD18" i="1"/>
  <c r="CE18" i="1"/>
  <c r="CF18" i="1"/>
  <c r="CG18" i="1"/>
  <c r="CH18" i="1"/>
  <c r="CI18" i="1"/>
  <c r="CJ18" i="1"/>
  <c r="CK18" i="1"/>
  <c r="CL18" i="1"/>
  <c r="CM18" i="1"/>
  <c r="CN18" i="1"/>
  <c r="CO18" i="1"/>
  <c r="CP18" i="1"/>
  <c r="CQ18" i="1"/>
  <c r="CR18" i="1"/>
  <c r="CS18" i="1"/>
  <c r="CT18" i="1"/>
  <c r="CU18" i="1"/>
  <c r="CV18" i="1"/>
  <c r="CW18" i="1"/>
  <c r="CX18" i="1"/>
  <c r="CY18" i="1"/>
  <c r="CZ18" i="1"/>
  <c r="DA18" i="1"/>
  <c r="DB18" i="1"/>
  <c r="DC18" i="1"/>
  <c r="DD18" i="1"/>
  <c r="DE18" i="1"/>
  <c r="DF18" i="1"/>
  <c r="DG18" i="1"/>
  <c r="DH18" i="1"/>
  <c r="DI18" i="1"/>
  <c r="DJ18" i="1"/>
  <c r="DK18" i="1"/>
  <c r="DL18" i="1"/>
  <c r="DM18" i="1"/>
  <c r="DN18" i="1"/>
  <c r="DO18" i="1"/>
  <c r="DP18" i="1"/>
  <c r="DQ18" i="1"/>
  <c r="DR18" i="1"/>
  <c r="DS18" i="1"/>
  <c r="DT18" i="1"/>
  <c r="BM19" i="1"/>
  <c r="BN19" i="1"/>
  <c r="BO19" i="1"/>
  <c r="BP19" i="1"/>
  <c r="BQ19" i="1"/>
  <c r="BR19" i="1"/>
  <c r="BS19" i="1"/>
  <c r="BT19" i="1"/>
  <c r="BU19" i="1"/>
  <c r="BV19" i="1"/>
  <c r="BW19" i="1"/>
  <c r="BX19" i="1"/>
  <c r="BY19" i="1"/>
  <c r="BZ19" i="1"/>
  <c r="CA19" i="1"/>
  <c r="CB19" i="1"/>
  <c r="CC19" i="1"/>
  <c r="CD19" i="1"/>
  <c r="CE19" i="1"/>
  <c r="CF19" i="1"/>
  <c r="CG19" i="1"/>
  <c r="CH19" i="1"/>
  <c r="CI19" i="1"/>
  <c r="CJ19" i="1"/>
  <c r="CK19" i="1"/>
  <c r="CL19" i="1"/>
  <c r="CM19" i="1"/>
  <c r="CN19" i="1"/>
  <c r="CO19" i="1"/>
  <c r="CP19" i="1"/>
  <c r="CQ19" i="1"/>
  <c r="CR19" i="1"/>
  <c r="CS19" i="1"/>
  <c r="CT19" i="1"/>
  <c r="CU19" i="1"/>
  <c r="CV19" i="1"/>
  <c r="CW19" i="1"/>
  <c r="CX19" i="1"/>
  <c r="CY19" i="1"/>
  <c r="CZ19" i="1"/>
  <c r="DA19" i="1"/>
  <c r="DB19" i="1"/>
  <c r="DC19" i="1"/>
  <c r="DD19" i="1"/>
  <c r="DE19" i="1"/>
  <c r="DF19" i="1"/>
  <c r="DG19" i="1"/>
  <c r="DH19" i="1"/>
  <c r="DI19" i="1"/>
  <c r="DJ19" i="1"/>
  <c r="DK19" i="1"/>
  <c r="DL19" i="1"/>
  <c r="DM19" i="1"/>
  <c r="DN19" i="1"/>
  <c r="DO19" i="1"/>
  <c r="DP19" i="1"/>
  <c r="DQ19" i="1"/>
  <c r="DR19" i="1"/>
  <c r="DS19" i="1"/>
  <c r="DT19" i="1"/>
  <c r="BM20" i="1"/>
  <c r="BN20" i="1"/>
  <c r="BO20" i="1"/>
  <c r="BP20" i="1"/>
  <c r="BQ20" i="1"/>
  <c r="BR20" i="1"/>
  <c r="BS20" i="1"/>
  <c r="BT20" i="1"/>
  <c r="BU20" i="1"/>
  <c r="BV20" i="1"/>
  <c r="BW20" i="1"/>
  <c r="BX20" i="1"/>
  <c r="BY20" i="1"/>
  <c r="BZ20" i="1"/>
  <c r="CA20" i="1"/>
  <c r="CB20" i="1"/>
  <c r="CC20" i="1"/>
  <c r="CD20" i="1"/>
  <c r="CE20" i="1"/>
  <c r="CF20" i="1"/>
  <c r="CG20" i="1"/>
  <c r="CH20" i="1"/>
  <c r="CI20" i="1"/>
  <c r="CJ20" i="1"/>
  <c r="CK20" i="1"/>
  <c r="CL20" i="1"/>
  <c r="CM20" i="1"/>
  <c r="CN20" i="1"/>
  <c r="CO20" i="1"/>
  <c r="CP20" i="1"/>
  <c r="CQ20" i="1"/>
  <c r="CR20" i="1"/>
  <c r="CS20" i="1"/>
  <c r="CT20" i="1"/>
  <c r="CU20" i="1"/>
  <c r="CV20" i="1"/>
  <c r="CW20" i="1"/>
  <c r="CX20" i="1"/>
  <c r="CY20" i="1"/>
  <c r="CZ20" i="1"/>
  <c r="DA20" i="1"/>
  <c r="DB20" i="1"/>
  <c r="DC20" i="1"/>
  <c r="DD20" i="1"/>
  <c r="DE20" i="1"/>
  <c r="DF20" i="1"/>
  <c r="DG20" i="1"/>
  <c r="DH20" i="1"/>
  <c r="DI20" i="1"/>
  <c r="DJ20" i="1"/>
  <c r="DK20" i="1"/>
  <c r="DL20" i="1"/>
  <c r="DM20" i="1"/>
  <c r="DN20" i="1"/>
  <c r="DO20" i="1"/>
  <c r="DP20" i="1"/>
  <c r="DQ20" i="1"/>
  <c r="DR20" i="1"/>
  <c r="DS20" i="1"/>
  <c r="DT20" i="1"/>
  <c r="BM21" i="1"/>
  <c r="BN21" i="1"/>
  <c r="BO21" i="1"/>
  <c r="BP21" i="1"/>
  <c r="BQ21" i="1"/>
  <c r="BR21" i="1"/>
  <c r="BS21" i="1"/>
  <c r="BT21" i="1"/>
  <c r="BU21" i="1"/>
  <c r="BV21" i="1"/>
  <c r="BW21" i="1"/>
  <c r="BX21" i="1"/>
  <c r="BY21" i="1"/>
  <c r="BZ21" i="1"/>
  <c r="CA21" i="1"/>
  <c r="CB21" i="1"/>
  <c r="CC21" i="1"/>
  <c r="CD21" i="1"/>
  <c r="CE21" i="1"/>
  <c r="CF21" i="1"/>
  <c r="CG21" i="1"/>
  <c r="CH21" i="1"/>
  <c r="CI21" i="1"/>
  <c r="CJ21" i="1"/>
  <c r="CK21" i="1"/>
  <c r="CL21" i="1"/>
  <c r="CM21" i="1"/>
  <c r="CN21" i="1"/>
  <c r="CO21" i="1"/>
  <c r="CP21" i="1"/>
  <c r="CQ21" i="1"/>
  <c r="CR21" i="1"/>
  <c r="CS21" i="1"/>
  <c r="CT21" i="1"/>
  <c r="CU21" i="1"/>
  <c r="CV21" i="1"/>
  <c r="CW21" i="1"/>
  <c r="CX21" i="1"/>
  <c r="CY21" i="1"/>
  <c r="CZ21" i="1"/>
  <c r="DA21" i="1"/>
  <c r="DB21" i="1"/>
  <c r="DC21" i="1"/>
  <c r="DD21" i="1"/>
  <c r="DE21" i="1"/>
  <c r="DF21" i="1"/>
  <c r="DG21" i="1"/>
  <c r="DH21" i="1"/>
  <c r="DI21" i="1"/>
  <c r="DJ21" i="1"/>
  <c r="DK21" i="1"/>
  <c r="DL21" i="1"/>
  <c r="DM21" i="1"/>
  <c r="DN21" i="1"/>
  <c r="DO21" i="1"/>
  <c r="DP21" i="1"/>
  <c r="DQ21" i="1"/>
  <c r="DR21" i="1"/>
  <c r="DS21" i="1"/>
  <c r="DT21" i="1"/>
  <c r="BM22" i="1"/>
  <c r="BN22" i="1"/>
  <c r="BO22" i="1"/>
  <c r="BP22" i="1"/>
  <c r="BQ22" i="1"/>
  <c r="BR22" i="1"/>
  <c r="BS22" i="1"/>
  <c r="BT22" i="1"/>
  <c r="BU22" i="1"/>
  <c r="BV22" i="1"/>
  <c r="BW22" i="1"/>
  <c r="BX22" i="1"/>
  <c r="BY22" i="1"/>
  <c r="BZ22" i="1"/>
  <c r="CA22" i="1"/>
  <c r="CB22" i="1"/>
  <c r="CC22" i="1"/>
  <c r="CD22" i="1"/>
  <c r="CE22" i="1"/>
  <c r="CF22" i="1"/>
  <c r="CG22" i="1"/>
  <c r="CH22" i="1"/>
  <c r="CI22" i="1"/>
  <c r="CJ22" i="1"/>
  <c r="CK22" i="1"/>
  <c r="CL22" i="1"/>
  <c r="CM22" i="1"/>
  <c r="CN22" i="1"/>
  <c r="CO22" i="1"/>
  <c r="CP22" i="1"/>
  <c r="CQ22" i="1"/>
  <c r="CR22" i="1"/>
  <c r="CS22" i="1"/>
  <c r="CT22" i="1"/>
  <c r="CU22" i="1"/>
  <c r="CV22" i="1"/>
  <c r="CW22" i="1"/>
  <c r="CX22" i="1"/>
  <c r="CY22" i="1"/>
  <c r="CZ22" i="1"/>
  <c r="DA22" i="1"/>
  <c r="DB22" i="1"/>
  <c r="DC22" i="1"/>
  <c r="DD22" i="1"/>
  <c r="DE22" i="1"/>
  <c r="DF22" i="1"/>
  <c r="DG22" i="1"/>
  <c r="DH22" i="1"/>
  <c r="DI22" i="1"/>
  <c r="DJ22" i="1"/>
  <c r="DK22" i="1"/>
  <c r="DL22" i="1"/>
  <c r="DM22" i="1"/>
  <c r="DN22" i="1"/>
  <c r="DO22" i="1"/>
  <c r="DP22" i="1"/>
  <c r="DQ22" i="1"/>
  <c r="DR22" i="1"/>
  <c r="DS22" i="1"/>
  <c r="DT22" i="1"/>
  <c r="BM23" i="1"/>
  <c r="BN23" i="1"/>
  <c r="BO23" i="1"/>
  <c r="BP23" i="1"/>
  <c r="BQ23" i="1"/>
  <c r="BR23" i="1"/>
  <c r="BS23" i="1"/>
  <c r="BT23" i="1"/>
  <c r="BU23" i="1"/>
  <c r="BV23" i="1"/>
  <c r="BW23" i="1"/>
  <c r="BX23" i="1"/>
  <c r="BY23" i="1"/>
  <c r="BZ23" i="1"/>
  <c r="CA23" i="1"/>
  <c r="CB23" i="1"/>
  <c r="CC23" i="1"/>
  <c r="CD23" i="1"/>
  <c r="CE23" i="1"/>
  <c r="CF23" i="1"/>
  <c r="CG23" i="1"/>
  <c r="CH23" i="1"/>
  <c r="CI23" i="1"/>
  <c r="CJ23" i="1"/>
  <c r="CK23" i="1"/>
  <c r="CL23" i="1"/>
  <c r="CM23" i="1"/>
  <c r="CN23" i="1"/>
  <c r="CO23" i="1"/>
  <c r="CP23" i="1"/>
  <c r="CQ23" i="1"/>
  <c r="CR23" i="1"/>
  <c r="CS23" i="1"/>
  <c r="CT23" i="1"/>
  <c r="CU23" i="1"/>
  <c r="CV23" i="1"/>
  <c r="CW23" i="1"/>
  <c r="CX23" i="1"/>
  <c r="CY23" i="1"/>
  <c r="CZ23" i="1"/>
  <c r="DA23" i="1"/>
  <c r="DB23" i="1"/>
  <c r="DC23" i="1"/>
  <c r="DD23" i="1"/>
  <c r="DE23" i="1"/>
  <c r="DF23" i="1"/>
  <c r="DG23" i="1"/>
  <c r="DH23" i="1"/>
  <c r="DI23" i="1"/>
  <c r="DJ23" i="1"/>
  <c r="DK23" i="1"/>
  <c r="DL23" i="1"/>
  <c r="DM23" i="1"/>
  <c r="DN23" i="1"/>
  <c r="DO23" i="1"/>
  <c r="DP23" i="1"/>
  <c r="DQ23" i="1"/>
  <c r="DR23" i="1"/>
  <c r="DS23" i="1"/>
  <c r="DT23" i="1"/>
  <c r="BM24" i="1"/>
  <c r="BN24" i="1"/>
  <c r="BO24" i="1"/>
  <c r="BP24" i="1"/>
  <c r="BQ24" i="1"/>
  <c r="BR24" i="1"/>
  <c r="BS24" i="1"/>
  <c r="BT24" i="1"/>
  <c r="BU24" i="1"/>
  <c r="BV24" i="1"/>
  <c r="BW24" i="1"/>
  <c r="BX24" i="1"/>
  <c r="BY24" i="1"/>
  <c r="BZ24" i="1"/>
  <c r="CA24" i="1"/>
  <c r="CB24" i="1"/>
  <c r="CC24" i="1"/>
  <c r="CD24" i="1"/>
  <c r="CE24" i="1"/>
  <c r="CF24" i="1"/>
  <c r="CG24" i="1"/>
  <c r="CH24" i="1"/>
  <c r="CI24" i="1"/>
  <c r="CJ24" i="1"/>
  <c r="CK24" i="1"/>
  <c r="CL24" i="1"/>
  <c r="CM24" i="1"/>
  <c r="CN24" i="1"/>
  <c r="CO24" i="1"/>
  <c r="CP24" i="1"/>
  <c r="CQ24" i="1"/>
  <c r="CR24" i="1"/>
  <c r="CS24" i="1"/>
  <c r="CT24" i="1"/>
  <c r="CU24" i="1"/>
  <c r="CV24" i="1"/>
  <c r="CW24" i="1"/>
  <c r="CX24" i="1"/>
  <c r="CY24" i="1"/>
  <c r="CZ24" i="1"/>
  <c r="DA24" i="1"/>
  <c r="DB24" i="1"/>
  <c r="DC24" i="1"/>
  <c r="DD24" i="1"/>
  <c r="DE24" i="1"/>
  <c r="DF24" i="1"/>
  <c r="DG24" i="1"/>
  <c r="DH24" i="1"/>
  <c r="DI24" i="1"/>
  <c r="DJ24" i="1"/>
  <c r="DK24" i="1"/>
  <c r="DL24" i="1"/>
  <c r="DM24" i="1"/>
  <c r="DN24" i="1"/>
  <c r="DO24" i="1"/>
  <c r="DP24" i="1"/>
  <c r="DQ24" i="1"/>
  <c r="DR24" i="1"/>
  <c r="DS24" i="1"/>
  <c r="DT24" i="1"/>
  <c r="BM25" i="1"/>
  <c r="BN25" i="1"/>
  <c r="BO25" i="1"/>
  <c r="BP25" i="1"/>
  <c r="BQ25" i="1"/>
  <c r="BR25" i="1"/>
  <c r="BS25" i="1"/>
  <c r="BT25" i="1"/>
  <c r="BU25" i="1"/>
  <c r="BV25" i="1"/>
  <c r="BW25" i="1"/>
  <c r="BX25" i="1"/>
  <c r="BY25" i="1"/>
  <c r="BZ25" i="1"/>
  <c r="CA25" i="1"/>
  <c r="CB25" i="1"/>
  <c r="CC25" i="1"/>
  <c r="CD25" i="1"/>
  <c r="CE25" i="1"/>
  <c r="CF25" i="1"/>
  <c r="CG25" i="1"/>
  <c r="CH25" i="1"/>
  <c r="CI25" i="1"/>
  <c r="CJ25" i="1"/>
  <c r="CK25" i="1"/>
  <c r="CL25" i="1"/>
  <c r="CM25" i="1"/>
  <c r="CN25" i="1"/>
  <c r="CO25" i="1"/>
  <c r="CP25" i="1"/>
  <c r="CQ25" i="1"/>
  <c r="CR25" i="1"/>
  <c r="CS25" i="1"/>
  <c r="CT25" i="1"/>
  <c r="CU25" i="1"/>
  <c r="CV25" i="1"/>
  <c r="CW25" i="1"/>
  <c r="CX25" i="1"/>
  <c r="CY25" i="1"/>
  <c r="CZ25" i="1"/>
  <c r="DA25" i="1"/>
  <c r="DB25" i="1"/>
  <c r="DC25" i="1"/>
  <c r="DD25" i="1"/>
  <c r="DE25" i="1"/>
  <c r="DF25" i="1"/>
  <c r="DG25" i="1"/>
  <c r="DH25" i="1"/>
  <c r="DI25" i="1"/>
  <c r="DJ25" i="1"/>
  <c r="DK25" i="1"/>
  <c r="DL25" i="1"/>
  <c r="DM25" i="1"/>
  <c r="DN25" i="1"/>
  <c r="DO25" i="1"/>
  <c r="DP25" i="1"/>
  <c r="DQ25" i="1"/>
  <c r="DR25" i="1"/>
  <c r="DS25" i="1"/>
  <c r="DT25" i="1"/>
  <c r="BM26" i="1"/>
  <c r="BN26" i="1"/>
  <c r="BO26" i="1"/>
  <c r="BP26" i="1"/>
  <c r="BQ26" i="1"/>
  <c r="BR26" i="1"/>
  <c r="BS26" i="1"/>
  <c r="BT26" i="1"/>
  <c r="BU26" i="1"/>
  <c r="BV26" i="1"/>
  <c r="BW26" i="1"/>
  <c r="BX26" i="1"/>
  <c r="BY26" i="1"/>
  <c r="BZ26" i="1"/>
  <c r="CA26" i="1"/>
  <c r="CB26" i="1"/>
  <c r="CC26" i="1"/>
  <c r="CD26" i="1"/>
  <c r="CE26" i="1"/>
  <c r="CF26" i="1"/>
  <c r="CG26" i="1"/>
  <c r="CH26" i="1"/>
  <c r="CI26" i="1"/>
  <c r="CJ26" i="1"/>
  <c r="CK26" i="1"/>
  <c r="CL26" i="1"/>
  <c r="CM26" i="1"/>
  <c r="CN26" i="1"/>
  <c r="CO26" i="1"/>
  <c r="CP26" i="1"/>
  <c r="CQ26" i="1"/>
  <c r="CR26" i="1"/>
  <c r="CS26" i="1"/>
  <c r="CT26" i="1"/>
  <c r="CU26" i="1"/>
  <c r="CV26" i="1"/>
  <c r="CW26" i="1"/>
  <c r="CX26" i="1"/>
  <c r="CY26" i="1"/>
  <c r="CZ26" i="1"/>
  <c r="DA26" i="1"/>
  <c r="DB26" i="1"/>
  <c r="DC26" i="1"/>
  <c r="DD26" i="1"/>
  <c r="DE26" i="1"/>
  <c r="DF26" i="1"/>
  <c r="DG26" i="1"/>
  <c r="DH26" i="1"/>
  <c r="DI26" i="1"/>
  <c r="DJ26" i="1"/>
  <c r="DK26" i="1"/>
  <c r="DL26" i="1"/>
  <c r="DM26" i="1"/>
  <c r="DN26" i="1"/>
  <c r="DO26" i="1"/>
  <c r="DP26" i="1"/>
  <c r="DQ26" i="1"/>
  <c r="DR26" i="1"/>
  <c r="DS26" i="1"/>
  <c r="DT26" i="1"/>
  <c r="BM27" i="1"/>
  <c r="BN27" i="1"/>
  <c r="BO27" i="1"/>
  <c r="BP27" i="1"/>
  <c r="BQ27" i="1"/>
  <c r="BR27" i="1"/>
  <c r="BS27" i="1"/>
  <c r="BT27" i="1"/>
  <c r="BU27" i="1"/>
  <c r="BV27" i="1"/>
  <c r="BW27" i="1"/>
  <c r="BX27" i="1"/>
  <c r="BY27" i="1"/>
  <c r="BZ27" i="1"/>
  <c r="CA27" i="1"/>
  <c r="CB27" i="1"/>
  <c r="CC27" i="1"/>
  <c r="CD27" i="1"/>
  <c r="CE27" i="1"/>
  <c r="CF27" i="1"/>
  <c r="CG27" i="1"/>
  <c r="CH27" i="1"/>
  <c r="CI27" i="1"/>
  <c r="CJ27" i="1"/>
  <c r="CK27" i="1"/>
  <c r="CL27" i="1"/>
  <c r="CM27" i="1"/>
  <c r="CN27" i="1"/>
  <c r="CO27" i="1"/>
  <c r="CP27" i="1"/>
  <c r="CQ27" i="1"/>
  <c r="CR27" i="1"/>
  <c r="CS27" i="1"/>
  <c r="CT27" i="1"/>
  <c r="CU27" i="1"/>
  <c r="CV27" i="1"/>
  <c r="CW27" i="1"/>
  <c r="CX27" i="1"/>
  <c r="CY27" i="1"/>
  <c r="CZ27" i="1"/>
  <c r="DA27" i="1"/>
  <c r="DB27" i="1"/>
  <c r="DC27" i="1"/>
  <c r="DD27" i="1"/>
  <c r="DE27" i="1"/>
  <c r="DF27" i="1"/>
  <c r="DG27" i="1"/>
  <c r="DH27" i="1"/>
  <c r="DI27" i="1"/>
  <c r="DJ27" i="1"/>
  <c r="DK27" i="1"/>
  <c r="DL27" i="1"/>
  <c r="DM27" i="1"/>
  <c r="DN27" i="1"/>
  <c r="DO27" i="1"/>
  <c r="DP27" i="1"/>
  <c r="DQ27" i="1"/>
  <c r="DR27" i="1"/>
  <c r="DS27" i="1"/>
  <c r="DT27" i="1"/>
  <c r="BM28" i="1"/>
  <c r="BN28" i="1"/>
  <c r="BO28" i="1"/>
  <c r="BP28" i="1"/>
  <c r="BQ28" i="1"/>
  <c r="BR28" i="1"/>
  <c r="BS28" i="1"/>
  <c r="BT28" i="1"/>
  <c r="BU28" i="1"/>
  <c r="BV28" i="1"/>
  <c r="BW28" i="1"/>
  <c r="BX28" i="1"/>
  <c r="BY28" i="1"/>
  <c r="BZ28" i="1"/>
  <c r="CA28" i="1"/>
  <c r="CB28" i="1"/>
  <c r="CC28" i="1"/>
  <c r="CD28" i="1"/>
  <c r="CE28" i="1"/>
  <c r="CF28" i="1"/>
  <c r="CG28" i="1"/>
  <c r="CH28" i="1"/>
  <c r="CI28" i="1"/>
  <c r="CJ28" i="1"/>
  <c r="CK28" i="1"/>
  <c r="CL28" i="1"/>
  <c r="CM28" i="1"/>
  <c r="CN28" i="1"/>
  <c r="CO28" i="1"/>
  <c r="CP28" i="1"/>
  <c r="CQ28" i="1"/>
  <c r="CR28" i="1"/>
  <c r="CS28" i="1"/>
  <c r="CT28" i="1"/>
  <c r="CU28" i="1"/>
  <c r="CV28" i="1"/>
  <c r="CW28" i="1"/>
  <c r="CX28" i="1"/>
  <c r="CY28" i="1"/>
  <c r="CZ28" i="1"/>
  <c r="DA28" i="1"/>
  <c r="DB28" i="1"/>
  <c r="DC28" i="1"/>
  <c r="DD28" i="1"/>
  <c r="DE28" i="1"/>
  <c r="DF28" i="1"/>
  <c r="DG28" i="1"/>
  <c r="DH28" i="1"/>
  <c r="DI28" i="1"/>
  <c r="DJ28" i="1"/>
  <c r="DK28" i="1"/>
  <c r="DL28" i="1"/>
  <c r="DM28" i="1"/>
  <c r="DN28" i="1"/>
  <c r="DO28" i="1"/>
  <c r="DP28" i="1"/>
  <c r="DQ28" i="1"/>
  <c r="DR28" i="1"/>
  <c r="DS28" i="1"/>
  <c r="DT28" i="1"/>
  <c r="BM29" i="1"/>
  <c r="BN29" i="1"/>
  <c r="BO29" i="1"/>
  <c r="BP29" i="1"/>
  <c r="BQ29" i="1"/>
  <c r="BR29" i="1"/>
  <c r="BS29" i="1"/>
  <c r="BT29" i="1"/>
  <c r="BU29" i="1"/>
  <c r="BV29" i="1"/>
  <c r="BW29" i="1"/>
  <c r="BX29" i="1"/>
  <c r="BY29" i="1"/>
  <c r="BZ29" i="1"/>
  <c r="CA29" i="1"/>
  <c r="CB29" i="1"/>
  <c r="CC29" i="1"/>
  <c r="CD29" i="1"/>
  <c r="CE29" i="1"/>
  <c r="CF29" i="1"/>
  <c r="CG29" i="1"/>
  <c r="CH29" i="1"/>
  <c r="CI29" i="1"/>
  <c r="CJ29" i="1"/>
  <c r="CK29" i="1"/>
  <c r="CL29" i="1"/>
  <c r="CM29" i="1"/>
  <c r="CN29" i="1"/>
  <c r="CO29" i="1"/>
  <c r="CP29" i="1"/>
  <c r="CQ29" i="1"/>
  <c r="CR29" i="1"/>
  <c r="CS29" i="1"/>
  <c r="CT29" i="1"/>
  <c r="CU29" i="1"/>
  <c r="CV29" i="1"/>
  <c r="CW29" i="1"/>
  <c r="CX29" i="1"/>
  <c r="CY29" i="1"/>
  <c r="CZ29" i="1"/>
  <c r="DA29" i="1"/>
  <c r="DB29" i="1"/>
  <c r="DC29" i="1"/>
  <c r="DD29" i="1"/>
  <c r="DE29" i="1"/>
  <c r="DF29" i="1"/>
  <c r="DG29" i="1"/>
  <c r="DH29" i="1"/>
  <c r="DI29" i="1"/>
  <c r="DJ29" i="1"/>
  <c r="DK29" i="1"/>
  <c r="DL29" i="1"/>
  <c r="DM29" i="1"/>
  <c r="DN29" i="1"/>
  <c r="DO29" i="1"/>
  <c r="DP29" i="1"/>
  <c r="DQ29" i="1"/>
  <c r="DR29" i="1"/>
  <c r="DS29" i="1"/>
  <c r="DT29" i="1"/>
  <c r="BM30" i="1"/>
  <c r="BN30" i="1"/>
  <c r="BO30" i="1"/>
  <c r="BP30" i="1"/>
  <c r="BQ30" i="1"/>
  <c r="BR30" i="1"/>
  <c r="BS30" i="1"/>
  <c r="BT30" i="1"/>
  <c r="BU30" i="1"/>
  <c r="BV30" i="1"/>
  <c r="BW30" i="1"/>
  <c r="BX30" i="1"/>
  <c r="BY30" i="1"/>
  <c r="BZ30" i="1"/>
  <c r="CA30" i="1"/>
  <c r="CB30" i="1"/>
  <c r="CC30" i="1"/>
  <c r="CD30" i="1"/>
  <c r="CE30" i="1"/>
  <c r="CF30" i="1"/>
  <c r="CG30" i="1"/>
  <c r="CH30" i="1"/>
  <c r="CI30" i="1"/>
  <c r="CJ30" i="1"/>
  <c r="CK30" i="1"/>
  <c r="CL30" i="1"/>
  <c r="CM30" i="1"/>
  <c r="CN30" i="1"/>
  <c r="CO30" i="1"/>
  <c r="CP30" i="1"/>
  <c r="CQ30" i="1"/>
  <c r="CR30" i="1"/>
  <c r="CS30" i="1"/>
  <c r="CT30" i="1"/>
  <c r="CU30" i="1"/>
  <c r="CV30" i="1"/>
  <c r="CW30" i="1"/>
  <c r="CX30" i="1"/>
  <c r="CY30" i="1"/>
  <c r="CZ30" i="1"/>
  <c r="DA30" i="1"/>
  <c r="DB30" i="1"/>
  <c r="DC30" i="1"/>
  <c r="DD30" i="1"/>
  <c r="DE30" i="1"/>
  <c r="DF30" i="1"/>
  <c r="DG30" i="1"/>
  <c r="DH30" i="1"/>
  <c r="DI30" i="1"/>
  <c r="DJ30" i="1"/>
  <c r="DK30" i="1"/>
  <c r="DL30" i="1"/>
  <c r="DM30" i="1"/>
  <c r="DN30" i="1"/>
  <c r="DO30" i="1"/>
  <c r="DP30" i="1"/>
  <c r="DQ30" i="1"/>
  <c r="DR30" i="1"/>
  <c r="DS30" i="1"/>
  <c r="DT30" i="1"/>
  <c r="BM31" i="1"/>
  <c r="BN31" i="1"/>
  <c r="BO31" i="1"/>
  <c r="BP31" i="1"/>
  <c r="BQ31" i="1"/>
  <c r="BR31" i="1"/>
  <c r="BS31" i="1"/>
  <c r="BT31" i="1"/>
  <c r="BU31" i="1"/>
  <c r="BV31" i="1"/>
  <c r="BW31" i="1"/>
  <c r="BX31" i="1"/>
  <c r="BY31" i="1"/>
  <c r="BZ31" i="1"/>
  <c r="CA31" i="1"/>
  <c r="CB31" i="1"/>
  <c r="CC31" i="1"/>
  <c r="CD31" i="1"/>
  <c r="CE31" i="1"/>
  <c r="CF31" i="1"/>
  <c r="CG31" i="1"/>
  <c r="CH31" i="1"/>
  <c r="CI31" i="1"/>
  <c r="CJ31" i="1"/>
  <c r="CK31" i="1"/>
  <c r="CL31" i="1"/>
  <c r="CM31" i="1"/>
  <c r="CN31" i="1"/>
  <c r="CO31" i="1"/>
  <c r="CP31" i="1"/>
  <c r="CQ31" i="1"/>
  <c r="CR31" i="1"/>
  <c r="CS31" i="1"/>
  <c r="CT31" i="1"/>
  <c r="CU31" i="1"/>
  <c r="CV31" i="1"/>
  <c r="CW31" i="1"/>
  <c r="CX31" i="1"/>
  <c r="CY31" i="1"/>
  <c r="CZ31" i="1"/>
  <c r="DA31" i="1"/>
  <c r="DB31" i="1"/>
  <c r="DC31" i="1"/>
  <c r="DD31" i="1"/>
  <c r="DE31" i="1"/>
  <c r="DF31" i="1"/>
  <c r="DG31" i="1"/>
  <c r="DH31" i="1"/>
  <c r="DI31" i="1"/>
  <c r="DJ31" i="1"/>
  <c r="DK31" i="1"/>
  <c r="DL31" i="1"/>
  <c r="DM31" i="1"/>
  <c r="DN31" i="1"/>
  <c r="DO31" i="1"/>
  <c r="DP31" i="1"/>
  <c r="DQ31" i="1"/>
  <c r="DR31" i="1"/>
  <c r="DS31" i="1"/>
  <c r="DT31" i="1"/>
  <c r="BM32" i="1"/>
  <c r="BN32" i="1"/>
  <c r="BO32" i="1"/>
  <c r="BP32" i="1"/>
  <c r="BQ32" i="1"/>
  <c r="BR32" i="1"/>
  <c r="BS32" i="1"/>
  <c r="BT32" i="1"/>
  <c r="BU32" i="1"/>
  <c r="BV32" i="1"/>
  <c r="BW32" i="1"/>
  <c r="BX32" i="1"/>
  <c r="BY32" i="1"/>
  <c r="BZ32" i="1"/>
  <c r="CA32" i="1"/>
  <c r="CB32" i="1"/>
  <c r="CC32" i="1"/>
  <c r="CD32" i="1"/>
  <c r="CE32" i="1"/>
  <c r="CF32" i="1"/>
  <c r="CG32" i="1"/>
  <c r="CH32" i="1"/>
  <c r="CI32" i="1"/>
  <c r="CJ32" i="1"/>
  <c r="CK32" i="1"/>
  <c r="CL32" i="1"/>
  <c r="CM32" i="1"/>
  <c r="CN32" i="1"/>
  <c r="CO32" i="1"/>
  <c r="CP32" i="1"/>
  <c r="CQ32" i="1"/>
  <c r="CR32" i="1"/>
  <c r="CS32" i="1"/>
  <c r="CT32" i="1"/>
  <c r="CU32" i="1"/>
  <c r="CV32" i="1"/>
  <c r="CW32" i="1"/>
  <c r="CX32" i="1"/>
  <c r="CY32" i="1"/>
  <c r="CZ32" i="1"/>
  <c r="DA32" i="1"/>
  <c r="DB32" i="1"/>
  <c r="DC32" i="1"/>
  <c r="DD32" i="1"/>
  <c r="DE32" i="1"/>
  <c r="DF32" i="1"/>
  <c r="DG32" i="1"/>
  <c r="DH32" i="1"/>
  <c r="DI32" i="1"/>
  <c r="DJ32" i="1"/>
  <c r="DK32" i="1"/>
  <c r="DL32" i="1"/>
  <c r="DM32" i="1"/>
  <c r="DN32" i="1"/>
  <c r="DO32" i="1"/>
  <c r="DP32" i="1"/>
  <c r="DQ32" i="1"/>
  <c r="DR32" i="1"/>
  <c r="DS32" i="1"/>
  <c r="DT32" i="1"/>
  <c r="BM33" i="1"/>
  <c r="BN33" i="1"/>
  <c r="BO33" i="1"/>
  <c r="BP33" i="1"/>
  <c r="BQ33" i="1"/>
  <c r="BR33" i="1"/>
  <c r="BS33" i="1"/>
  <c r="BT33" i="1"/>
  <c r="BU33" i="1"/>
  <c r="BV33" i="1"/>
  <c r="BW33" i="1"/>
  <c r="BX33" i="1"/>
  <c r="BY33" i="1"/>
  <c r="BZ33" i="1"/>
  <c r="CA33" i="1"/>
  <c r="CB33" i="1"/>
  <c r="CC33" i="1"/>
  <c r="CD33" i="1"/>
  <c r="CE33" i="1"/>
  <c r="CF33" i="1"/>
  <c r="CG33" i="1"/>
  <c r="CH33" i="1"/>
  <c r="CI33" i="1"/>
  <c r="CJ33" i="1"/>
  <c r="CK33" i="1"/>
  <c r="CL33" i="1"/>
  <c r="CM33" i="1"/>
  <c r="CN33" i="1"/>
  <c r="CO33" i="1"/>
  <c r="CP33" i="1"/>
  <c r="CQ33" i="1"/>
  <c r="CR33" i="1"/>
  <c r="CS33" i="1"/>
  <c r="CT33" i="1"/>
  <c r="CU33" i="1"/>
  <c r="CV33" i="1"/>
  <c r="CW33" i="1"/>
  <c r="CX33" i="1"/>
  <c r="CY33" i="1"/>
  <c r="CZ33" i="1"/>
  <c r="DA33" i="1"/>
  <c r="DB33" i="1"/>
  <c r="DC33" i="1"/>
  <c r="DD33" i="1"/>
  <c r="DE33" i="1"/>
  <c r="DF33" i="1"/>
  <c r="DG33" i="1"/>
  <c r="DH33" i="1"/>
  <c r="DI33" i="1"/>
  <c r="DJ33" i="1"/>
  <c r="DK33" i="1"/>
  <c r="DL33" i="1"/>
  <c r="DM33" i="1"/>
  <c r="DN33" i="1"/>
  <c r="DO33" i="1"/>
  <c r="DP33" i="1"/>
  <c r="DQ33" i="1"/>
  <c r="DR33" i="1"/>
  <c r="DS33" i="1"/>
  <c r="DT33" i="1"/>
  <c r="BM34" i="1"/>
  <c r="BN34" i="1"/>
  <c r="BO34" i="1"/>
  <c r="BP34" i="1"/>
  <c r="BQ34" i="1"/>
  <c r="BR34" i="1"/>
  <c r="BS34" i="1"/>
  <c r="BT34" i="1"/>
  <c r="BU34" i="1"/>
  <c r="BV34" i="1"/>
  <c r="BW34" i="1"/>
  <c r="BX34" i="1"/>
  <c r="BY34" i="1"/>
  <c r="BZ34" i="1"/>
  <c r="CA34" i="1"/>
  <c r="CB34" i="1"/>
  <c r="CC34" i="1"/>
  <c r="CD34" i="1"/>
  <c r="CE34" i="1"/>
  <c r="CF34" i="1"/>
  <c r="CG34" i="1"/>
  <c r="CH34" i="1"/>
  <c r="CI34" i="1"/>
  <c r="CJ34" i="1"/>
  <c r="CK34" i="1"/>
  <c r="CL34" i="1"/>
  <c r="CM34" i="1"/>
  <c r="CN34" i="1"/>
  <c r="CO34" i="1"/>
  <c r="CP34" i="1"/>
  <c r="CQ34" i="1"/>
  <c r="CR34" i="1"/>
  <c r="CS34" i="1"/>
  <c r="CT34" i="1"/>
  <c r="CU34" i="1"/>
  <c r="CV34" i="1"/>
  <c r="CW34" i="1"/>
  <c r="CX34" i="1"/>
  <c r="CY34" i="1"/>
  <c r="CZ34" i="1"/>
  <c r="DA34" i="1"/>
  <c r="DB34" i="1"/>
  <c r="DC34" i="1"/>
  <c r="DD34" i="1"/>
  <c r="DE34" i="1"/>
  <c r="DF34" i="1"/>
  <c r="DG34" i="1"/>
  <c r="DH34" i="1"/>
  <c r="DI34" i="1"/>
  <c r="DJ34" i="1"/>
  <c r="DK34" i="1"/>
  <c r="DL34" i="1"/>
  <c r="DM34" i="1"/>
  <c r="DN34" i="1"/>
  <c r="DO34" i="1"/>
  <c r="DP34" i="1"/>
  <c r="DQ34" i="1"/>
  <c r="DR34" i="1"/>
  <c r="DS34" i="1"/>
  <c r="DT34" i="1"/>
  <c r="BM35" i="1"/>
  <c r="BN35" i="1"/>
  <c r="BO35" i="1"/>
  <c r="BP35" i="1"/>
  <c r="BQ35" i="1"/>
  <c r="BR35" i="1"/>
  <c r="BS35" i="1"/>
  <c r="BT35" i="1"/>
  <c r="BU35" i="1"/>
  <c r="BV35" i="1"/>
  <c r="BW35" i="1"/>
  <c r="BX35" i="1"/>
  <c r="BY35" i="1"/>
  <c r="BZ35" i="1"/>
  <c r="CA35" i="1"/>
  <c r="CB35" i="1"/>
  <c r="CC35" i="1"/>
  <c r="CD35" i="1"/>
  <c r="CE35" i="1"/>
  <c r="CF35" i="1"/>
  <c r="CG35" i="1"/>
  <c r="CH35" i="1"/>
  <c r="CI35" i="1"/>
  <c r="CJ35" i="1"/>
  <c r="CK35" i="1"/>
  <c r="CL35" i="1"/>
  <c r="CM35" i="1"/>
  <c r="CN35" i="1"/>
  <c r="CO35" i="1"/>
  <c r="CP35" i="1"/>
  <c r="CQ35" i="1"/>
  <c r="CR35" i="1"/>
  <c r="CS35" i="1"/>
  <c r="CT35" i="1"/>
  <c r="CU35" i="1"/>
  <c r="CV35" i="1"/>
  <c r="CW35" i="1"/>
  <c r="CX35" i="1"/>
  <c r="CY35" i="1"/>
  <c r="CZ35" i="1"/>
  <c r="DA35" i="1"/>
  <c r="DB35" i="1"/>
  <c r="DC35" i="1"/>
  <c r="DD35" i="1"/>
  <c r="DE35" i="1"/>
  <c r="DF35" i="1"/>
  <c r="DG35" i="1"/>
  <c r="DH35" i="1"/>
  <c r="DI35" i="1"/>
  <c r="DJ35" i="1"/>
  <c r="DK35" i="1"/>
  <c r="DL35" i="1"/>
  <c r="DM35" i="1"/>
  <c r="DN35" i="1"/>
  <c r="DO35" i="1"/>
  <c r="DP35" i="1"/>
  <c r="DQ35" i="1"/>
  <c r="DR35" i="1"/>
  <c r="DS35" i="1"/>
  <c r="DT35" i="1"/>
  <c r="BM36" i="1"/>
  <c r="BN36" i="1"/>
  <c r="BO36" i="1"/>
  <c r="BP36" i="1"/>
  <c r="BQ36" i="1"/>
  <c r="BR36" i="1"/>
  <c r="BS36" i="1"/>
  <c r="BT36" i="1"/>
  <c r="BU36" i="1"/>
  <c r="BV36" i="1"/>
  <c r="BW36" i="1"/>
  <c r="BX36" i="1"/>
  <c r="BY36" i="1"/>
  <c r="BZ36" i="1"/>
  <c r="CA36" i="1"/>
  <c r="CB36" i="1"/>
  <c r="CC36" i="1"/>
  <c r="CD36" i="1"/>
  <c r="CE36" i="1"/>
  <c r="CF36" i="1"/>
  <c r="CG36" i="1"/>
  <c r="CH36" i="1"/>
  <c r="CI36" i="1"/>
  <c r="CJ36" i="1"/>
  <c r="CK36" i="1"/>
  <c r="CL36" i="1"/>
  <c r="CM36" i="1"/>
  <c r="CN36" i="1"/>
  <c r="CO36" i="1"/>
  <c r="CP36" i="1"/>
  <c r="CQ36" i="1"/>
  <c r="CR36" i="1"/>
  <c r="CS36" i="1"/>
  <c r="CT36" i="1"/>
  <c r="CU36" i="1"/>
  <c r="CV36" i="1"/>
  <c r="CW36" i="1"/>
  <c r="CX36" i="1"/>
  <c r="CY36" i="1"/>
  <c r="CZ36" i="1"/>
  <c r="DA36" i="1"/>
  <c r="DB36" i="1"/>
  <c r="DC36" i="1"/>
  <c r="DD36" i="1"/>
  <c r="DE36" i="1"/>
  <c r="DF36" i="1"/>
  <c r="DG36" i="1"/>
  <c r="DH36" i="1"/>
  <c r="DI36" i="1"/>
  <c r="DJ36" i="1"/>
  <c r="DK36" i="1"/>
  <c r="DL36" i="1"/>
  <c r="DM36" i="1"/>
  <c r="DN36" i="1"/>
  <c r="DO36" i="1"/>
  <c r="DP36" i="1"/>
  <c r="DQ36" i="1"/>
  <c r="DR36" i="1"/>
  <c r="DS36" i="1"/>
  <c r="DT36" i="1"/>
  <c r="BM37" i="1"/>
  <c r="BN37" i="1"/>
  <c r="BO37" i="1"/>
  <c r="BP37" i="1"/>
  <c r="BQ37" i="1"/>
  <c r="BR37" i="1"/>
  <c r="BS37" i="1"/>
  <c r="BT37" i="1"/>
  <c r="BU37" i="1"/>
  <c r="BV37" i="1"/>
  <c r="BW37" i="1"/>
  <c r="BX37" i="1"/>
  <c r="BY37" i="1"/>
  <c r="BZ37" i="1"/>
  <c r="CA37" i="1"/>
  <c r="CB37" i="1"/>
  <c r="CC37" i="1"/>
  <c r="CD37" i="1"/>
  <c r="CE37" i="1"/>
  <c r="CF37" i="1"/>
  <c r="CG37" i="1"/>
  <c r="CH37" i="1"/>
  <c r="CI37" i="1"/>
  <c r="CJ37" i="1"/>
  <c r="CK37" i="1"/>
  <c r="CL37" i="1"/>
  <c r="CM37" i="1"/>
  <c r="CN37" i="1"/>
  <c r="CO37" i="1"/>
  <c r="CP37" i="1"/>
  <c r="CQ37" i="1"/>
  <c r="CR37" i="1"/>
  <c r="CS37" i="1"/>
  <c r="CT37" i="1"/>
  <c r="CU37" i="1"/>
  <c r="CV37" i="1"/>
  <c r="CW37" i="1"/>
  <c r="CX37" i="1"/>
  <c r="CY37" i="1"/>
  <c r="CZ37" i="1"/>
  <c r="DA37" i="1"/>
  <c r="DB37" i="1"/>
  <c r="DC37" i="1"/>
  <c r="DD37" i="1"/>
  <c r="DE37" i="1"/>
  <c r="DF37" i="1"/>
  <c r="DG37" i="1"/>
  <c r="DH37" i="1"/>
  <c r="DI37" i="1"/>
  <c r="DJ37" i="1"/>
  <c r="DK37" i="1"/>
  <c r="DL37" i="1"/>
  <c r="DM37" i="1"/>
  <c r="DN37" i="1"/>
  <c r="DO37" i="1"/>
  <c r="DP37" i="1"/>
  <c r="DQ37" i="1"/>
  <c r="DR37" i="1"/>
  <c r="DS37" i="1"/>
  <c r="DT37" i="1"/>
  <c r="BM38" i="1"/>
  <c r="BN38" i="1"/>
  <c r="BO38" i="1"/>
  <c r="BP38" i="1"/>
  <c r="BQ38" i="1"/>
  <c r="BR38" i="1"/>
  <c r="BS38" i="1"/>
  <c r="BT38" i="1"/>
  <c r="BU38" i="1"/>
  <c r="BV38" i="1"/>
  <c r="BW38" i="1"/>
  <c r="BX38" i="1"/>
  <c r="BY38" i="1"/>
  <c r="BZ38" i="1"/>
  <c r="CA38" i="1"/>
  <c r="CB38" i="1"/>
  <c r="CC38" i="1"/>
  <c r="CD38" i="1"/>
  <c r="CE38" i="1"/>
  <c r="CF38" i="1"/>
  <c r="CG38" i="1"/>
  <c r="CH38" i="1"/>
  <c r="CI38" i="1"/>
  <c r="CJ38" i="1"/>
  <c r="CK38" i="1"/>
  <c r="CL38" i="1"/>
  <c r="CM38" i="1"/>
  <c r="CN38" i="1"/>
  <c r="CO38" i="1"/>
  <c r="CP38" i="1"/>
  <c r="CQ38" i="1"/>
  <c r="CR38" i="1"/>
  <c r="CS38" i="1"/>
  <c r="CT38" i="1"/>
  <c r="CU38" i="1"/>
  <c r="CV38" i="1"/>
  <c r="CW38" i="1"/>
  <c r="CX38" i="1"/>
  <c r="CY38" i="1"/>
  <c r="CZ38" i="1"/>
  <c r="DA38" i="1"/>
  <c r="DB38" i="1"/>
  <c r="DC38" i="1"/>
  <c r="DD38" i="1"/>
  <c r="DE38" i="1"/>
  <c r="DF38" i="1"/>
  <c r="DG38" i="1"/>
  <c r="DH38" i="1"/>
  <c r="DI38" i="1"/>
  <c r="DJ38" i="1"/>
  <c r="DK38" i="1"/>
  <c r="DL38" i="1"/>
  <c r="DM38" i="1"/>
  <c r="DN38" i="1"/>
  <c r="DO38" i="1"/>
  <c r="DP38" i="1"/>
  <c r="DQ38" i="1"/>
  <c r="DR38" i="1"/>
  <c r="DS38" i="1"/>
  <c r="DT38" i="1"/>
  <c r="BM39" i="1"/>
  <c r="BN39" i="1"/>
  <c r="BO39" i="1"/>
  <c r="BP39" i="1"/>
  <c r="BQ39" i="1"/>
  <c r="BR39" i="1"/>
  <c r="BS39" i="1"/>
  <c r="BT39" i="1"/>
  <c r="BU39" i="1"/>
  <c r="BV39" i="1"/>
  <c r="BW39" i="1"/>
  <c r="BX39" i="1"/>
  <c r="BY39" i="1"/>
  <c r="BZ39" i="1"/>
  <c r="CA39" i="1"/>
  <c r="CB39" i="1"/>
  <c r="CC39" i="1"/>
  <c r="CD39" i="1"/>
  <c r="CE39" i="1"/>
  <c r="CF39" i="1"/>
  <c r="CG39" i="1"/>
  <c r="CH39" i="1"/>
  <c r="CI39" i="1"/>
  <c r="CJ39" i="1"/>
  <c r="CK39" i="1"/>
  <c r="CL39" i="1"/>
  <c r="CM39" i="1"/>
  <c r="CN39" i="1"/>
  <c r="CO39" i="1"/>
  <c r="CP39" i="1"/>
  <c r="CQ39" i="1"/>
  <c r="CR39" i="1"/>
  <c r="CS39" i="1"/>
  <c r="CT39" i="1"/>
  <c r="CU39" i="1"/>
  <c r="CV39" i="1"/>
  <c r="CW39" i="1"/>
  <c r="CX39" i="1"/>
  <c r="CY39" i="1"/>
  <c r="CZ39" i="1"/>
  <c r="DA39" i="1"/>
  <c r="DB39" i="1"/>
  <c r="DC39" i="1"/>
  <c r="DD39" i="1"/>
  <c r="DE39" i="1"/>
  <c r="DF39" i="1"/>
  <c r="DG39" i="1"/>
  <c r="DH39" i="1"/>
  <c r="DI39" i="1"/>
  <c r="DJ39" i="1"/>
  <c r="DK39" i="1"/>
  <c r="DL39" i="1"/>
  <c r="DM39" i="1"/>
  <c r="DN39" i="1"/>
  <c r="DO39" i="1"/>
  <c r="DP39" i="1"/>
  <c r="DQ39" i="1"/>
  <c r="DR39" i="1"/>
  <c r="DS39" i="1"/>
  <c r="DT39" i="1"/>
  <c r="BM40" i="1"/>
  <c r="BN40" i="1"/>
  <c r="BO40" i="1"/>
  <c r="BP40" i="1"/>
  <c r="BQ40" i="1"/>
  <c r="BR40" i="1"/>
  <c r="BS40" i="1"/>
  <c r="BT40" i="1"/>
  <c r="BU40" i="1"/>
  <c r="BV40" i="1"/>
  <c r="BW40" i="1"/>
  <c r="BX40" i="1"/>
  <c r="BY40" i="1"/>
  <c r="BZ40" i="1"/>
  <c r="CA40" i="1"/>
  <c r="CB40" i="1"/>
  <c r="CC40" i="1"/>
  <c r="CD40" i="1"/>
  <c r="CE40" i="1"/>
  <c r="CF40" i="1"/>
  <c r="CG40" i="1"/>
  <c r="CH40" i="1"/>
  <c r="CI40" i="1"/>
  <c r="CJ40" i="1"/>
  <c r="CK40" i="1"/>
  <c r="CL40" i="1"/>
  <c r="CM40" i="1"/>
  <c r="CN40" i="1"/>
  <c r="CO40" i="1"/>
  <c r="CP40" i="1"/>
  <c r="CQ40" i="1"/>
  <c r="CR40" i="1"/>
  <c r="CS40" i="1"/>
  <c r="CT40" i="1"/>
  <c r="CU40" i="1"/>
  <c r="CV40" i="1"/>
  <c r="CW40" i="1"/>
  <c r="CX40" i="1"/>
  <c r="CY40" i="1"/>
  <c r="CZ40" i="1"/>
  <c r="DA40" i="1"/>
  <c r="DB40" i="1"/>
  <c r="DC40" i="1"/>
  <c r="DD40" i="1"/>
  <c r="DE40" i="1"/>
  <c r="DF40" i="1"/>
  <c r="DG40" i="1"/>
  <c r="DH40" i="1"/>
  <c r="DI40" i="1"/>
  <c r="DJ40" i="1"/>
  <c r="DK40" i="1"/>
  <c r="DL40" i="1"/>
  <c r="DM40" i="1"/>
  <c r="DN40" i="1"/>
  <c r="DO40" i="1"/>
  <c r="DP40" i="1"/>
  <c r="DQ40" i="1"/>
  <c r="DR40" i="1"/>
  <c r="DS40" i="1"/>
  <c r="DT40" i="1"/>
  <c r="BM41" i="1"/>
  <c r="BN41" i="1"/>
  <c r="BO41" i="1"/>
  <c r="BP41" i="1"/>
  <c r="BQ41" i="1"/>
  <c r="BR41" i="1"/>
  <c r="BS41" i="1"/>
  <c r="BT41" i="1"/>
  <c r="BU41" i="1"/>
  <c r="BV41" i="1"/>
  <c r="BW41" i="1"/>
  <c r="BX41" i="1"/>
  <c r="BY41" i="1"/>
  <c r="BZ41" i="1"/>
  <c r="CA41" i="1"/>
  <c r="CB41" i="1"/>
  <c r="CC41" i="1"/>
  <c r="CD41" i="1"/>
  <c r="CE41" i="1"/>
  <c r="CF41" i="1"/>
  <c r="CG41" i="1"/>
  <c r="CH41" i="1"/>
  <c r="CI41" i="1"/>
  <c r="CJ41" i="1"/>
  <c r="CK41" i="1"/>
  <c r="CL41" i="1"/>
  <c r="CM41" i="1"/>
  <c r="CN41" i="1"/>
  <c r="CO41" i="1"/>
  <c r="CP41" i="1"/>
  <c r="CQ41" i="1"/>
  <c r="CR41" i="1"/>
  <c r="CS41" i="1"/>
  <c r="CT41" i="1"/>
  <c r="CU41" i="1"/>
  <c r="CV41" i="1"/>
  <c r="CW41" i="1"/>
  <c r="CX41" i="1"/>
  <c r="CY41" i="1"/>
  <c r="CZ41" i="1"/>
  <c r="DA41" i="1"/>
  <c r="DB41" i="1"/>
  <c r="DC41" i="1"/>
  <c r="DD41" i="1"/>
  <c r="DE41" i="1"/>
  <c r="DF41" i="1"/>
  <c r="DG41" i="1"/>
  <c r="DH41" i="1"/>
  <c r="DI41" i="1"/>
  <c r="DJ41" i="1"/>
  <c r="DK41" i="1"/>
  <c r="DL41" i="1"/>
  <c r="DM41" i="1"/>
  <c r="DN41" i="1"/>
  <c r="DO41" i="1"/>
  <c r="DP41" i="1"/>
  <c r="DQ41" i="1"/>
  <c r="DR41" i="1"/>
  <c r="DS41" i="1"/>
  <c r="DT41" i="1"/>
  <c r="BM42" i="1"/>
  <c r="BN42" i="1"/>
  <c r="BO42" i="1"/>
  <c r="BP42" i="1"/>
  <c r="BQ42" i="1"/>
  <c r="BR42" i="1"/>
  <c r="BS42" i="1"/>
  <c r="BT42" i="1"/>
  <c r="BU42" i="1"/>
  <c r="BV42" i="1"/>
  <c r="BW42" i="1"/>
  <c r="BX42" i="1"/>
  <c r="BY42" i="1"/>
  <c r="BZ42" i="1"/>
  <c r="CA42" i="1"/>
  <c r="CB42" i="1"/>
  <c r="CC42" i="1"/>
  <c r="CD42" i="1"/>
  <c r="CE42" i="1"/>
  <c r="CF42" i="1"/>
  <c r="CG42" i="1"/>
  <c r="CH42" i="1"/>
  <c r="CI42" i="1"/>
  <c r="CJ42" i="1"/>
  <c r="CK42" i="1"/>
  <c r="CL42" i="1"/>
  <c r="CM42" i="1"/>
  <c r="CN42" i="1"/>
  <c r="CO42" i="1"/>
  <c r="CP42" i="1"/>
  <c r="CQ42" i="1"/>
  <c r="CR42" i="1"/>
  <c r="CS42" i="1"/>
  <c r="CT42" i="1"/>
  <c r="CU42" i="1"/>
  <c r="CV42" i="1"/>
  <c r="CW42" i="1"/>
  <c r="CX42" i="1"/>
  <c r="CY42" i="1"/>
  <c r="CZ42" i="1"/>
  <c r="DA42" i="1"/>
  <c r="DB42" i="1"/>
  <c r="DC42" i="1"/>
  <c r="DD42" i="1"/>
  <c r="DE42" i="1"/>
  <c r="DF42" i="1"/>
  <c r="DG42" i="1"/>
  <c r="DH42" i="1"/>
  <c r="DI42" i="1"/>
  <c r="DJ42" i="1"/>
  <c r="DK42" i="1"/>
  <c r="DL42" i="1"/>
  <c r="DM42" i="1"/>
  <c r="DN42" i="1"/>
  <c r="DO42" i="1"/>
  <c r="DP42" i="1"/>
  <c r="DQ42" i="1"/>
  <c r="DR42" i="1"/>
  <c r="DS42" i="1"/>
  <c r="DT42" i="1"/>
  <c r="BM43" i="1"/>
  <c r="BN43" i="1"/>
  <c r="BO43" i="1"/>
  <c r="BP43" i="1"/>
  <c r="BQ43" i="1"/>
  <c r="BR43" i="1"/>
  <c r="BS43" i="1"/>
  <c r="BT43" i="1"/>
  <c r="BU43" i="1"/>
  <c r="BV43" i="1"/>
  <c r="BW43" i="1"/>
  <c r="BX43" i="1"/>
  <c r="BY43" i="1"/>
  <c r="BZ43" i="1"/>
  <c r="CA43" i="1"/>
  <c r="CB43" i="1"/>
  <c r="CC43" i="1"/>
  <c r="CD43" i="1"/>
  <c r="CE43" i="1"/>
  <c r="CF43" i="1"/>
  <c r="CG43" i="1"/>
  <c r="CH43" i="1"/>
  <c r="CI43" i="1"/>
  <c r="CJ43" i="1"/>
  <c r="CK43" i="1"/>
  <c r="CL43" i="1"/>
  <c r="CM43" i="1"/>
  <c r="CN43" i="1"/>
  <c r="CO43" i="1"/>
  <c r="CP43" i="1"/>
  <c r="CQ43" i="1"/>
  <c r="CR43" i="1"/>
  <c r="CS43" i="1"/>
  <c r="CT43" i="1"/>
  <c r="CU43" i="1"/>
  <c r="CV43" i="1"/>
  <c r="CW43" i="1"/>
  <c r="CX43" i="1"/>
  <c r="CY43" i="1"/>
  <c r="CZ43" i="1"/>
  <c r="DA43" i="1"/>
  <c r="DB43" i="1"/>
  <c r="DC43" i="1"/>
  <c r="DD43" i="1"/>
  <c r="DE43" i="1"/>
  <c r="DF43" i="1"/>
  <c r="DG43" i="1"/>
  <c r="DH43" i="1"/>
  <c r="DI43" i="1"/>
  <c r="DJ43" i="1"/>
  <c r="DK43" i="1"/>
  <c r="DL43" i="1"/>
  <c r="DM43" i="1"/>
  <c r="DN43" i="1"/>
  <c r="DO43" i="1"/>
  <c r="DP43" i="1"/>
  <c r="DQ43" i="1"/>
  <c r="DR43" i="1"/>
  <c r="DS43" i="1"/>
  <c r="DT43" i="1"/>
  <c r="BM44" i="1"/>
  <c r="BN44" i="1"/>
  <c r="BO44" i="1"/>
  <c r="BP44" i="1"/>
  <c r="BQ44" i="1"/>
  <c r="BR44" i="1"/>
  <c r="BS44" i="1"/>
  <c r="BT44" i="1"/>
  <c r="BU44" i="1"/>
  <c r="BV44" i="1"/>
  <c r="BW44" i="1"/>
  <c r="BX44" i="1"/>
  <c r="BY44" i="1"/>
  <c r="BZ44" i="1"/>
  <c r="CA44" i="1"/>
  <c r="CB44" i="1"/>
  <c r="CC44" i="1"/>
  <c r="CD44" i="1"/>
  <c r="CE44" i="1"/>
  <c r="CF44" i="1"/>
  <c r="CG44" i="1"/>
  <c r="CH44" i="1"/>
  <c r="CI44" i="1"/>
  <c r="CJ44" i="1"/>
  <c r="CK44" i="1"/>
  <c r="CL44" i="1"/>
  <c r="CM44" i="1"/>
  <c r="CN44" i="1"/>
  <c r="CO44" i="1"/>
  <c r="CP44" i="1"/>
  <c r="CQ44" i="1"/>
  <c r="CR44" i="1"/>
  <c r="CS44" i="1"/>
  <c r="CT44" i="1"/>
  <c r="CU44" i="1"/>
  <c r="CV44" i="1"/>
  <c r="CW44" i="1"/>
  <c r="CX44" i="1"/>
  <c r="CY44" i="1"/>
  <c r="CZ44" i="1"/>
  <c r="DA44" i="1"/>
  <c r="DB44" i="1"/>
  <c r="DC44" i="1"/>
  <c r="DD44" i="1"/>
  <c r="DE44" i="1"/>
  <c r="DF44" i="1"/>
  <c r="DG44" i="1"/>
  <c r="DH44" i="1"/>
  <c r="DI44" i="1"/>
  <c r="DJ44" i="1"/>
  <c r="DK44" i="1"/>
  <c r="DL44" i="1"/>
  <c r="DM44" i="1"/>
  <c r="DN44" i="1"/>
  <c r="DO44" i="1"/>
  <c r="DP44" i="1"/>
  <c r="DQ44" i="1"/>
  <c r="DR44" i="1"/>
  <c r="DS44" i="1"/>
  <c r="DT44" i="1"/>
  <c r="BM45" i="1"/>
  <c r="BN45" i="1"/>
  <c r="BO45" i="1"/>
  <c r="BP45" i="1"/>
  <c r="BQ45" i="1"/>
  <c r="BR45" i="1"/>
  <c r="BS45" i="1"/>
  <c r="BT45" i="1"/>
  <c r="BU45" i="1"/>
  <c r="BV45" i="1"/>
  <c r="BW45" i="1"/>
  <c r="BX45" i="1"/>
  <c r="BY45" i="1"/>
  <c r="BZ45" i="1"/>
  <c r="CA45" i="1"/>
  <c r="CB45" i="1"/>
  <c r="CC45" i="1"/>
  <c r="CD45" i="1"/>
  <c r="CE45" i="1"/>
  <c r="CF45" i="1"/>
  <c r="CG45" i="1"/>
  <c r="CH45" i="1"/>
  <c r="CI45" i="1"/>
  <c r="CJ45" i="1"/>
  <c r="CK45" i="1"/>
  <c r="CL45" i="1"/>
  <c r="CM45" i="1"/>
  <c r="CN45" i="1"/>
  <c r="CO45" i="1"/>
  <c r="CP45" i="1"/>
  <c r="CQ45" i="1"/>
  <c r="CR45" i="1"/>
  <c r="CS45" i="1"/>
  <c r="CT45" i="1"/>
  <c r="CU45" i="1"/>
  <c r="CV45" i="1"/>
  <c r="CW45" i="1"/>
  <c r="CX45" i="1"/>
  <c r="CY45" i="1"/>
  <c r="CZ45" i="1"/>
  <c r="DA45" i="1"/>
  <c r="DB45" i="1"/>
  <c r="DC45" i="1"/>
  <c r="DD45" i="1"/>
  <c r="DE45" i="1"/>
  <c r="DF45" i="1"/>
  <c r="DG45" i="1"/>
  <c r="DH45" i="1"/>
  <c r="DI45" i="1"/>
  <c r="DJ45" i="1"/>
  <c r="DK45" i="1"/>
  <c r="DL45" i="1"/>
  <c r="DM45" i="1"/>
  <c r="DN45" i="1"/>
  <c r="DO45" i="1"/>
  <c r="DP45" i="1"/>
  <c r="DQ45" i="1"/>
  <c r="DR45" i="1"/>
  <c r="DS45" i="1"/>
  <c r="DT45" i="1"/>
  <c r="BM46" i="1"/>
  <c r="BN46" i="1"/>
  <c r="BO46" i="1"/>
  <c r="BP46" i="1"/>
  <c r="BQ46" i="1"/>
  <c r="BR46" i="1"/>
  <c r="BS46" i="1"/>
  <c r="BT46" i="1"/>
  <c r="BU46" i="1"/>
  <c r="BV46" i="1"/>
  <c r="BW46" i="1"/>
  <c r="BX46" i="1"/>
  <c r="BY46" i="1"/>
  <c r="BZ46" i="1"/>
  <c r="CA46" i="1"/>
  <c r="CB46" i="1"/>
  <c r="CC46" i="1"/>
  <c r="CD46" i="1"/>
  <c r="CE46" i="1"/>
  <c r="CF46" i="1"/>
  <c r="CG46" i="1"/>
  <c r="CH46" i="1"/>
  <c r="CI46" i="1"/>
  <c r="CJ46" i="1"/>
  <c r="CK46" i="1"/>
  <c r="CL46" i="1"/>
  <c r="CM46" i="1"/>
  <c r="CN46" i="1"/>
  <c r="CO46" i="1"/>
  <c r="CP46" i="1"/>
  <c r="CQ46" i="1"/>
  <c r="CR46" i="1"/>
  <c r="CS46" i="1"/>
  <c r="CT46" i="1"/>
  <c r="CU46" i="1"/>
  <c r="CV46" i="1"/>
  <c r="CW46" i="1"/>
  <c r="CX46" i="1"/>
  <c r="CY46" i="1"/>
  <c r="CZ46" i="1"/>
  <c r="DA46" i="1"/>
  <c r="DB46" i="1"/>
  <c r="DC46" i="1"/>
  <c r="DD46" i="1"/>
  <c r="DE46" i="1"/>
  <c r="DF46" i="1"/>
  <c r="DG46" i="1"/>
  <c r="DH46" i="1"/>
  <c r="DI46" i="1"/>
  <c r="DJ46" i="1"/>
  <c r="DK46" i="1"/>
  <c r="DL46" i="1"/>
  <c r="DM46" i="1"/>
  <c r="DN46" i="1"/>
  <c r="DO46" i="1"/>
  <c r="DP46" i="1"/>
  <c r="DQ46" i="1"/>
  <c r="DR46" i="1"/>
  <c r="DS46" i="1"/>
  <c r="DT46" i="1"/>
  <c r="BM47" i="1"/>
  <c r="BN47" i="1"/>
  <c r="BO47" i="1"/>
  <c r="BP47" i="1"/>
  <c r="BQ47" i="1"/>
  <c r="BR47" i="1"/>
  <c r="BS47" i="1"/>
  <c r="BT47" i="1"/>
  <c r="BU47" i="1"/>
  <c r="BV47" i="1"/>
  <c r="BW47" i="1"/>
  <c r="BX47" i="1"/>
  <c r="BY47" i="1"/>
  <c r="BZ47" i="1"/>
  <c r="CA47" i="1"/>
  <c r="CB47" i="1"/>
  <c r="CC47" i="1"/>
  <c r="CD47" i="1"/>
  <c r="CE47" i="1"/>
  <c r="CF47" i="1"/>
  <c r="CG47" i="1"/>
  <c r="CH47" i="1"/>
  <c r="CI47" i="1"/>
  <c r="CJ47" i="1"/>
  <c r="CK47" i="1"/>
  <c r="CL47" i="1"/>
  <c r="CM47" i="1"/>
  <c r="CN47" i="1"/>
  <c r="CO47" i="1"/>
  <c r="CP47" i="1"/>
  <c r="CQ47" i="1"/>
  <c r="CR47" i="1"/>
  <c r="CS47" i="1"/>
  <c r="CT47" i="1"/>
  <c r="CU47" i="1"/>
  <c r="CV47" i="1"/>
  <c r="CW47" i="1"/>
  <c r="CX47" i="1"/>
  <c r="CY47" i="1"/>
  <c r="CZ47" i="1"/>
  <c r="DA47" i="1"/>
  <c r="DB47" i="1"/>
  <c r="DC47" i="1"/>
  <c r="DD47" i="1"/>
  <c r="DE47" i="1"/>
  <c r="DF47" i="1"/>
  <c r="DG47" i="1"/>
  <c r="DH47" i="1"/>
  <c r="DI47" i="1"/>
  <c r="DJ47" i="1"/>
  <c r="DK47" i="1"/>
  <c r="DL47" i="1"/>
  <c r="DM47" i="1"/>
  <c r="DN47" i="1"/>
  <c r="DO47" i="1"/>
  <c r="DP47" i="1"/>
  <c r="DQ47" i="1"/>
  <c r="DR47" i="1"/>
  <c r="DS47" i="1"/>
  <c r="DT47" i="1"/>
  <c r="BM48" i="1"/>
  <c r="BN48" i="1"/>
  <c r="BO48" i="1"/>
  <c r="BP48" i="1"/>
  <c r="BQ48" i="1"/>
  <c r="BR48" i="1"/>
  <c r="BS48" i="1"/>
  <c r="BT48" i="1"/>
  <c r="BU48" i="1"/>
  <c r="BV48" i="1"/>
  <c r="BW48" i="1"/>
  <c r="BX48" i="1"/>
  <c r="BY48" i="1"/>
  <c r="BZ48" i="1"/>
  <c r="CA48" i="1"/>
  <c r="CB48" i="1"/>
  <c r="CC48" i="1"/>
  <c r="CD48" i="1"/>
  <c r="CE48" i="1"/>
  <c r="CF48" i="1"/>
  <c r="CG48" i="1"/>
  <c r="CH48" i="1"/>
  <c r="CI48" i="1"/>
  <c r="CJ48" i="1"/>
  <c r="CK48" i="1"/>
  <c r="CL48" i="1"/>
  <c r="CM48" i="1"/>
  <c r="CN48" i="1"/>
  <c r="CO48" i="1"/>
  <c r="CP48" i="1"/>
  <c r="CQ48" i="1"/>
  <c r="CR48" i="1"/>
  <c r="CS48" i="1"/>
  <c r="CT48" i="1"/>
  <c r="CU48" i="1"/>
  <c r="CV48" i="1"/>
  <c r="CW48" i="1"/>
  <c r="CX48" i="1"/>
  <c r="CY48" i="1"/>
  <c r="CZ48" i="1"/>
  <c r="DA48" i="1"/>
  <c r="DB48" i="1"/>
  <c r="DC48" i="1"/>
  <c r="DD48" i="1"/>
  <c r="DE48" i="1"/>
  <c r="DF48" i="1"/>
  <c r="DG48" i="1"/>
  <c r="DH48" i="1"/>
  <c r="DI48" i="1"/>
  <c r="DJ48" i="1"/>
  <c r="DK48" i="1"/>
  <c r="DL48" i="1"/>
  <c r="DM48" i="1"/>
  <c r="DN48" i="1"/>
  <c r="DO48" i="1"/>
  <c r="DP48" i="1"/>
  <c r="DQ48" i="1"/>
  <c r="DR48" i="1"/>
  <c r="DS48" i="1"/>
  <c r="DT48" i="1"/>
  <c r="BM49" i="1"/>
  <c r="BN49" i="1"/>
  <c r="BO49" i="1"/>
  <c r="BP49" i="1"/>
  <c r="BQ49" i="1"/>
  <c r="BR49" i="1"/>
  <c r="BS49" i="1"/>
  <c r="BT49" i="1"/>
  <c r="BU49" i="1"/>
  <c r="BV49" i="1"/>
  <c r="BW49" i="1"/>
  <c r="BX49" i="1"/>
  <c r="BY49" i="1"/>
  <c r="BZ49" i="1"/>
  <c r="CA49" i="1"/>
  <c r="CB49" i="1"/>
  <c r="CC49" i="1"/>
  <c r="CD49" i="1"/>
  <c r="CE49" i="1"/>
  <c r="CF49" i="1"/>
  <c r="CG49" i="1"/>
  <c r="CH49" i="1"/>
  <c r="CI49" i="1"/>
  <c r="CJ49" i="1"/>
  <c r="CK49" i="1"/>
  <c r="CL49" i="1"/>
  <c r="CM49" i="1"/>
  <c r="CN49" i="1"/>
  <c r="CO49" i="1"/>
  <c r="CP49" i="1"/>
  <c r="CQ49" i="1"/>
  <c r="CR49" i="1"/>
  <c r="CS49" i="1"/>
  <c r="CT49" i="1"/>
  <c r="CU49" i="1"/>
  <c r="CV49" i="1"/>
  <c r="CW49" i="1"/>
  <c r="CX49" i="1"/>
  <c r="CY49" i="1"/>
  <c r="CZ49" i="1"/>
  <c r="DA49" i="1"/>
  <c r="DB49" i="1"/>
  <c r="DC49" i="1"/>
  <c r="DD49" i="1"/>
  <c r="DE49" i="1"/>
  <c r="DF49" i="1"/>
  <c r="DG49" i="1"/>
  <c r="DH49" i="1"/>
  <c r="DI49" i="1"/>
  <c r="DJ49" i="1"/>
  <c r="DK49" i="1"/>
  <c r="DL49" i="1"/>
  <c r="DM49" i="1"/>
  <c r="DN49" i="1"/>
  <c r="DO49" i="1"/>
  <c r="DP49" i="1"/>
  <c r="DQ49" i="1"/>
  <c r="DR49" i="1"/>
  <c r="DS49" i="1"/>
  <c r="DT49" i="1"/>
  <c r="BM50" i="1"/>
  <c r="BN50" i="1"/>
  <c r="BO50" i="1"/>
  <c r="BP50" i="1"/>
  <c r="BQ50" i="1"/>
  <c r="BR50" i="1"/>
  <c r="BS50" i="1"/>
  <c r="BT50" i="1"/>
  <c r="BU50" i="1"/>
  <c r="BV50" i="1"/>
  <c r="BW50" i="1"/>
  <c r="BX50" i="1"/>
  <c r="BY50" i="1"/>
  <c r="BZ50" i="1"/>
  <c r="CA50" i="1"/>
  <c r="CB50" i="1"/>
  <c r="CC50" i="1"/>
  <c r="CD50" i="1"/>
  <c r="CE50" i="1"/>
  <c r="CF50" i="1"/>
  <c r="CG50" i="1"/>
  <c r="CH50" i="1"/>
  <c r="CI50" i="1"/>
  <c r="CJ50" i="1"/>
  <c r="CK50" i="1"/>
  <c r="CL50" i="1"/>
  <c r="CM50" i="1"/>
  <c r="CN50" i="1"/>
  <c r="CO50" i="1"/>
  <c r="CP50" i="1"/>
  <c r="CQ50" i="1"/>
  <c r="CR50" i="1"/>
  <c r="CS50" i="1"/>
  <c r="CT50" i="1"/>
  <c r="CU50" i="1"/>
  <c r="CV50" i="1"/>
  <c r="CW50" i="1"/>
  <c r="CX50" i="1"/>
  <c r="CY50" i="1"/>
  <c r="CZ50" i="1"/>
  <c r="DA50" i="1"/>
  <c r="DB50" i="1"/>
  <c r="DC50" i="1"/>
  <c r="DD50" i="1"/>
  <c r="DE50" i="1"/>
  <c r="DF50" i="1"/>
  <c r="DG50" i="1"/>
  <c r="DH50" i="1"/>
  <c r="DI50" i="1"/>
  <c r="DJ50" i="1"/>
  <c r="DK50" i="1"/>
  <c r="DL50" i="1"/>
  <c r="DM50" i="1"/>
  <c r="DN50" i="1"/>
  <c r="DO50" i="1"/>
  <c r="DP50" i="1"/>
  <c r="DQ50" i="1"/>
  <c r="DR50" i="1"/>
  <c r="DS50" i="1"/>
  <c r="DT50" i="1"/>
  <c r="BM51" i="1"/>
  <c r="BN51" i="1"/>
  <c r="BO51" i="1"/>
  <c r="BP51" i="1"/>
  <c r="BQ51" i="1"/>
  <c r="BR51" i="1"/>
  <c r="BS51" i="1"/>
  <c r="BT51" i="1"/>
  <c r="BU51" i="1"/>
  <c r="BV51" i="1"/>
  <c r="BW51" i="1"/>
  <c r="BX51" i="1"/>
  <c r="BY51" i="1"/>
  <c r="BZ51" i="1"/>
  <c r="CA51" i="1"/>
  <c r="CB51" i="1"/>
  <c r="CC51" i="1"/>
  <c r="CD51" i="1"/>
  <c r="CE51" i="1"/>
  <c r="CF51" i="1"/>
  <c r="CG51" i="1"/>
  <c r="CH51" i="1"/>
  <c r="CI51" i="1"/>
  <c r="CJ51" i="1"/>
  <c r="CK51" i="1"/>
  <c r="CL51" i="1"/>
  <c r="CM51" i="1"/>
  <c r="CN51" i="1"/>
  <c r="CO51" i="1"/>
  <c r="CP51" i="1"/>
  <c r="CQ51" i="1"/>
  <c r="CR51" i="1"/>
  <c r="CS51" i="1"/>
  <c r="CT51" i="1"/>
  <c r="CU51" i="1"/>
  <c r="CV51" i="1"/>
  <c r="CW51" i="1"/>
  <c r="CX51" i="1"/>
  <c r="CY51" i="1"/>
  <c r="CZ51" i="1"/>
  <c r="DA51" i="1"/>
  <c r="DB51" i="1"/>
  <c r="DC51" i="1"/>
  <c r="DD51" i="1"/>
  <c r="DE51" i="1"/>
  <c r="DF51" i="1"/>
  <c r="DG51" i="1"/>
  <c r="DH51" i="1"/>
  <c r="DI51" i="1"/>
  <c r="DJ51" i="1"/>
  <c r="DK51" i="1"/>
  <c r="DL51" i="1"/>
  <c r="DM51" i="1"/>
  <c r="DN51" i="1"/>
  <c r="DO51" i="1"/>
  <c r="DP51" i="1"/>
  <c r="DQ51" i="1"/>
  <c r="DR51" i="1"/>
  <c r="DS51" i="1"/>
  <c r="DT51" i="1"/>
  <c r="BM52" i="1"/>
  <c r="BN52" i="1"/>
  <c r="BO52" i="1"/>
  <c r="BP52" i="1"/>
  <c r="BQ52" i="1"/>
  <c r="BR52" i="1"/>
  <c r="BS52" i="1"/>
  <c r="BT52" i="1"/>
  <c r="BU52" i="1"/>
  <c r="BV52" i="1"/>
  <c r="BW52" i="1"/>
  <c r="BX52" i="1"/>
  <c r="BY52" i="1"/>
  <c r="BZ52" i="1"/>
  <c r="CA52" i="1"/>
  <c r="CB52" i="1"/>
  <c r="CC52" i="1"/>
  <c r="CD52" i="1"/>
  <c r="CE52" i="1"/>
  <c r="CF52" i="1"/>
  <c r="CG52" i="1"/>
  <c r="CH52" i="1"/>
  <c r="CI52" i="1"/>
  <c r="CJ52" i="1"/>
  <c r="CK52" i="1"/>
  <c r="CL52" i="1"/>
  <c r="CM52" i="1"/>
  <c r="CN52" i="1"/>
  <c r="CO52" i="1"/>
  <c r="CP52" i="1"/>
  <c r="CQ52" i="1"/>
  <c r="CR52" i="1"/>
  <c r="CS52" i="1"/>
  <c r="CT52" i="1"/>
  <c r="CU52" i="1"/>
  <c r="CV52" i="1"/>
  <c r="CW52" i="1"/>
  <c r="CX52" i="1"/>
  <c r="CY52" i="1"/>
  <c r="CZ52" i="1"/>
  <c r="DA52" i="1"/>
  <c r="DB52" i="1"/>
  <c r="DC52" i="1"/>
  <c r="DD52" i="1"/>
  <c r="DE52" i="1"/>
  <c r="DF52" i="1"/>
  <c r="DG52" i="1"/>
  <c r="DH52" i="1"/>
  <c r="DI52" i="1"/>
  <c r="DJ52" i="1"/>
  <c r="DK52" i="1"/>
  <c r="DL52" i="1"/>
  <c r="DM52" i="1"/>
  <c r="DN52" i="1"/>
  <c r="DO52" i="1"/>
  <c r="DP52" i="1"/>
  <c r="DQ52" i="1"/>
  <c r="DR52" i="1"/>
  <c r="DS52" i="1"/>
  <c r="DT52" i="1"/>
  <c r="BM53" i="1"/>
  <c r="BN53" i="1"/>
  <c r="BO53" i="1"/>
  <c r="BP53" i="1"/>
  <c r="BQ53" i="1"/>
  <c r="BR53" i="1"/>
  <c r="BS53" i="1"/>
  <c r="BT53" i="1"/>
  <c r="BU53" i="1"/>
  <c r="BV53" i="1"/>
  <c r="BW53" i="1"/>
  <c r="BX53" i="1"/>
  <c r="BY53" i="1"/>
  <c r="BZ53" i="1"/>
  <c r="CA53" i="1"/>
  <c r="CB53" i="1"/>
  <c r="CC53" i="1"/>
  <c r="CD53" i="1"/>
  <c r="CE53" i="1"/>
  <c r="CF53" i="1"/>
  <c r="CG53" i="1"/>
  <c r="CH53" i="1"/>
  <c r="CI53" i="1"/>
  <c r="CJ53" i="1"/>
  <c r="CK53" i="1"/>
  <c r="CL53" i="1"/>
  <c r="CM53" i="1"/>
  <c r="CN53" i="1"/>
  <c r="CO53" i="1"/>
  <c r="CP53" i="1"/>
  <c r="CQ53" i="1"/>
  <c r="CR53" i="1"/>
  <c r="CS53" i="1"/>
  <c r="CT53" i="1"/>
  <c r="CU53" i="1"/>
  <c r="CV53" i="1"/>
  <c r="CW53" i="1"/>
  <c r="CX53" i="1"/>
  <c r="CY53" i="1"/>
  <c r="CZ53" i="1"/>
  <c r="DA53" i="1"/>
  <c r="DB53" i="1"/>
  <c r="DC53" i="1"/>
  <c r="DD53" i="1"/>
  <c r="DE53" i="1"/>
  <c r="DF53" i="1"/>
  <c r="DG53" i="1"/>
  <c r="DH53" i="1"/>
  <c r="DI53" i="1"/>
  <c r="DJ53" i="1"/>
  <c r="DK53" i="1"/>
  <c r="DL53" i="1"/>
  <c r="DM53" i="1"/>
  <c r="DN53" i="1"/>
  <c r="DO53" i="1"/>
  <c r="DP53" i="1"/>
  <c r="DQ53" i="1"/>
  <c r="DR53" i="1"/>
  <c r="DS53" i="1"/>
  <c r="DT53" i="1"/>
  <c r="BM54" i="1"/>
  <c r="BN54" i="1"/>
  <c r="BO54" i="1"/>
  <c r="BP54" i="1"/>
  <c r="BQ54" i="1"/>
  <c r="BR54" i="1"/>
  <c r="BS54" i="1"/>
  <c r="BT54" i="1"/>
  <c r="BU54" i="1"/>
  <c r="BV54" i="1"/>
  <c r="BW54" i="1"/>
  <c r="BX54" i="1"/>
  <c r="BY54" i="1"/>
  <c r="BZ54" i="1"/>
  <c r="CA54" i="1"/>
  <c r="CB54" i="1"/>
  <c r="CC54" i="1"/>
  <c r="CD54" i="1"/>
  <c r="CE54" i="1"/>
  <c r="CF54" i="1"/>
  <c r="CG54" i="1"/>
  <c r="CH54" i="1"/>
  <c r="CI54" i="1"/>
  <c r="CJ54" i="1"/>
  <c r="CK54" i="1"/>
  <c r="CL54" i="1"/>
  <c r="CM54" i="1"/>
  <c r="CN54" i="1"/>
  <c r="CO54" i="1"/>
  <c r="CP54" i="1"/>
  <c r="CQ54" i="1"/>
  <c r="CR54" i="1"/>
  <c r="CS54" i="1"/>
  <c r="CT54" i="1"/>
  <c r="CU54" i="1"/>
  <c r="CV54" i="1"/>
  <c r="CW54" i="1"/>
  <c r="CX54" i="1"/>
  <c r="CY54" i="1"/>
  <c r="CZ54" i="1"/>
  <c r="DA54" i="1"/>
  <c r="DB54" i="1"/>
  <c r="DC54" i="1"/>
  <c r="DD54" i="1"/>
  <c r="DE54" i="1"/>
  <c r="DF54" i="1"/>
  <c r="DG54" i="1"/>
  <c r="DH54" i="1"/>
  <c r="DI54" i="1"/>
  <c r="DJ54" i="1"/>
  <c r="DK54" i="1"/>
  <c r="DL54" i="1"/>
  <c r="DM54" i="1"/>
  <c r="DN54" i="1"/>
  <c r="DO54" i="1"/>
  <c r="DP54" i="1"/>
  <c r="DQ54" i="1"/>
  <c r="DR54" i="1"/>
  <c r="DS54" i="1"/>
  <c r="DT54" i="1"/>
  <c r="BM55" i="1"/>
  <c r="BN55" i="1"/>
  <c r="BO55" i="1"/>
  <c r="BP55" i="1"/>
  <c r="BQ55" i="1"/>
  <c r="BR55" i="1"/>
  <c r="BS55" i="1"/>
  <c r="BT55" i="1"/>
  <c r="BU55" i="1"/>
  <c r="BV55" i="1"/>
  <c r="BW55" i="1"/>
  <c r="BX55" i="1"/>
  <c r="BY55" i="1"/>
  <c r="BZ55" i="1"/>
  <c r="CA55" i="1"/>
  <c r="CB55" i="1"/>
  <c r="CC55" i="1"/>
  <c r="CD55" i="1"/>
  <c r="CE55" i="1"/>
  <c r="CF55" i="1"/>
  <c r="CG55" i="1"/>
  <c r="CH55" i="1"/>
  <c r="CI55" i="1"/>
  <c r="CJ55" i="1"/>
  <c r="CK55" i="1"/>
  <c r="CL55" i="1"/>
  <c r="CM55" i="1"/>
  <c r="CN55" i="1"/>
  <c r="CO55" i="1"/>
  <c r="CP55" i="1"/>
  <c r="CQ55" i="1"/>
  <c r="CR55" i="1"/>
  <c r="CS55" i="1"/>
  <c r="CT55" i="1"/>
  <c r="CU55" i="1"/>
  <c r="CV55" i="1"/>
  <c r="CW55" i="1"/>
  <c r="CX55" i="1"/>
  <c r="CY55" i="1"/>
  <c r="CZ55" i="1"/>
  <c r="DA55" i="1"/>
  <c r="DB55" i="1"/>
  <c r="DC55" i="1"/>
  <c r="DD55" i="1"/>
  <c r="DE55" i="1"/>
  <c r="DF55" i="1"/>
  <c r="DG55" i="1"/>
  <c r="DH55" i="1"/>
  <c r="DI55" i="1"/>
  <c r="DJ55" i="1"/>
  <c r="DK55" i="1"/>
  <c r="DL55" i="1"/>
  <c r="DM55" i="1"/>
  <c r="DN55" i="1"/>
  <c r="DO55" i="1"/>
  <c r="DP55" i="1"/>
  <c r="DQ55" i="1"/>
  <c r="DR55" i="1"/>
  <c r="DS55" i="1"/>
  <c r="DT55" i="1"/>
  <c r="BM56" i="1"/>
  <c r="BN56" i="1"/>
  <c r="BO56" i="1"/>
  <c r="BP56" i="1"/>
  <c r="BQ56" i="1"/>
  <c r="BR56" i="1"/>
  <c r="BS56" i="1"/>
  <c r="BT56" i="1"/>
  <c r="BU56" i="1"/>
  <c r="BV56" i="1"/>
  <c r="BW56" i="1"/>
  <c r="BX56" i="1"/>
  <c r="BY56" i="1"/>
  <c r="BZ56" i="1"/>
  <c r="CA56" i="1"/>
  <c r="CB56" i="1"/>
  <c r="CC56" i="1"/>
  <c r="CD56" i="1"/>
  <c r="CE56" i="1"/>
  <c r="CF56" i="1"/>
  <c r="CG56" i="1"/>
  <c r="CH56" i="1"/>
  <c r="CI56" i="1"/>
  <c r="CJ56" i="1"/>
  <c r="CK56" i="1"/>
  <c r="CL56" i="1"/>
  <c r="CM56" i="1"/>
  <c r="CN56" i="1"/>
  <c r="CO56" i="1"/>
  <c r="CP56" i="1"/>
  <c r="CQ56" i="1"/>
  <c r="CR56" i="1"/>
  <c r="CS56" i="1"/>
  <c r="CT56" i="1"/>
  <c r="CU56" i="1"/>
  <c r="CV56" i="1"/>
  <c r="CW56" i="1"/>
  <c r="CX56" i="1"/>
  <c r="CY56" i="1"/>
  <c r="CZ56" i="1"/>
  <c r="DA56" i="1"/>
  <c r="DB56" i="1"/>
  <c r="DC56" i="1"/>
  <c r="DD56" i="1"/>
  <c r="DE56" i="1"/>
  <c r="DF56" i="1"/>
  <c r="DG56" i="1"/>
  <c r="DH56" i="1"/>
  <c r="DI56" i="1"/>
  <c r="DJ56" i="1"/>
  <c r="DK56" i="1"/>
  <c r="DL56" i="1"/>
  <c r="DM56" i="1"/>
  <c r="DN56" i="1"/>
  <c r="DO56" i="1"/>
  <c r="DP56" i="1"/>
  <c r="DQ56" i="1"/>
  <c r="DR56" i="1"/>
  <c r="DS56" i="1"/>
  <c r="DT56" i="1"/>
  <c r="BM57" i="1"/>
  <c r="BN57" i="1"/>
  <c r="BO57" i="1"/>
  <c r="BP57" i="1"/>
  <c r="BQ57" i="1"/>
  <c r="BR57" i="1"/>
  <c r="BS57" i="1"/>
  <c r="BT57" i="1"/>
  <c r="BU57" i="1"/>
  <c r="BV57" i="1"/>
  <c r="BW57" i="1"/>
  <c r="BX57" i="1"/>
  <c r="BY57" i="1"/>
  <c r="BZ57" i="1"/>
  <c r="CA57" i="1"/>
  <c r="CB57" i="1"/>
  <c r="CC57" i="1"/>
  <c r="CD57" i="1"/>
  <c r="CE57" i="1"/>
  <c r="CF57" i="1"/>
  <c r="CG57" i="1"/>
  <c r="CH57" i="1"/>
  <c r="CI57" i="1"/>
  <c r="CJ57" i="1"/>
  <c r="CK57" i="1"/>
  <c r="CL57" i="1"/>
  <c r="CM57" i="1"/>
  <c r="CN57" i="1"/>
  <c r="CO57" i="1"/>
  <c r="CP57" i="1"/>
  <c r="CQ57" i="1"/>
  <c r="CR57" i="1"/>
  <c r="CS57" i="1"/>
  <c r="CT57" i="1"/>
  <c r="CU57" i="1"/>
  <c r="CV57" i="1"/>
  <c r="CW57" i="1"/>
  <c r="CX57" i="1"/>
  <c r="CY57" i="1"/>
  <c r="CZ57" i="1"/>
  <c r="DA57" i="1"/>
  <c r="DB57" i="1"/>
  <c r="DC57" i="1"/>
  <c r="DD57" i="1"/>
  <c r="DE57" i="1"/>
  <c r="DF57" i="1"/>
  <c r="DG57" i="1"/>
  <c r="DH57" i="1"/>
  <c r="DI57" i="1"/>
  <c r="DJ57" i="1"/>
  <c r="DK57" i="1"/>
  <c r="DL57" i="1"/>
  <c r="DM57" i="1"/>
  <c r="DN57" i="1"/>
  <c r="DO57" i="1"/>
  <c r="DP57" i="1"/>
  <c r="DQ57" i="1"/>
  <c r="DR57" i="1"/>
  <c r="DS57" i="1"/>
  <c r="DT57" i="1"/>
  <c r="BM58" i="1"/>
  <c r="BN58" i="1"/>
  <c r="BO58" i="1"/>
  <c r="BP58" i="1"/>
  <c r="BQ58" i="1"/>
  <c r="BR58" i="1"/>
  <c r="BS58" i="1"/>
  <c r="BT58" i="1"/>
  <c r="BU58" i="1"/>
  <c r="BV58" i="1"/>
  <c r="BW58" i="1"/>
  <c r="BX58" i="1"/>
  <c r="BY58" i="1"/>
  <c r="BZ58" i="1"/>
  <c r="CA58" i="1"/>
  <c r="CB58" i="1"/>
  <c r="CC58" i="1"/>
  <c r="CD58" i="1"/>
  <c r="CE58" i="1"/>
  <c r="CF58" i="1"/>
  <c r="CG58" i="1"/>
  <c r="CH58" i="1"/>
  <c r="CI58" i="1"/>
  <c r="CJ58" i="1"/>
  <c r="CK58" i="1"/>
  <c r="CL58" i="1"/>
  <c r="CM58" i="1"/>
  <c r="CN58" i="1"/>
  <c r="CO58" i="1"/>
  <c r="CP58" i="1"/>
  <c r="CQ58" i="1"/>
  <c r="CR58" i="1"/>
  <c r="CS58" i="1"/>
  <c r="CT58" i="1"/>
  <c r="CU58" i="1"/>
  <c r="CV58" i="1"/>
  <c r="CW58" i="1"/>
  <c r="CX58" i="1"/>
  <c r="CY58" i="1"/>
  <c r="CZ58" i="1"/>
  <c r="DA58" i="1"/>
  <c r="DB58" i="1"/>
  <c r="DC58" i="1"/>
  <c r="DD58" i="1"/>
  <c r="DE58" i="1"/>
  <c r="DF58" i="1"/>
  <c r="DG58" i="1"/>
  <c r="DH58" i="1"/>
  <c r="DI58" i="1"/>
  <c r="DJ58" i="1"/>
  <c r="DK58" i="1"/>
  <c r="DL58" i="1"/>
  <c r="DM58" i="1"/>
  <c r="DN58" i="1"/>
  <c r="DO58" i="1"/>
  <c r="DP58" i="1"/>
  <c r="DQ58" i="1"/>
  <c r="DR58" i="1"/>
  <c r="DS58" i="1"/>
  <c r="DT58" i="1"/>
  <c r="BM59" i="1"/>
  <c r="BN59" i="1"/>
  <c r="BO59" i="1"/>
  <c r="BP59" i="1"/>
  <c r="BQ59" i="1"/>
  <c r="BR59" i="1"/>
  <c r="BS59" i="1"/>
  <c r="BT59" i="1"/>
  <c r="BU59" i="1"/>
  <c r="BV59" i="1"/>
  <c r="BW59" i="1"/>
  <c r="BX59" i="1"/>
  <c r="BY59" i="1"/>
  <c r="BZ59" i="1"/>
  <c r="CA59" i="1"/>
  <c r="CB59" i="1"/>
  <c r="CC59" i="1"/>
  <c r="CD59" i="1"/>
  <c r="CE59" i="1"/>
  <c r="CF59" i="1"/>
  <c r="CG59" i="1"/>
  <c r="CH59" i="1"/>
  <c r="CI59" i="1"/>
  <c r="CJ59" i="1"/>
  <c r="CK59" i="1"/>
  <c r="CL59" i="1"/>
  <c r="CM59" i="1"/>
  <c r="CN59" i="1"/>
  <c r="CO59" i="1"/>
  <c r="CP59" i="1"/>
  <c r="CQ59" i="1"/>
  <c r="CR59" i="1"/>
  <c r="CS59" i="1"/>
  <c r="CT59" i="1"/>
  <c r="CU59" i="1"/>
  <c r="CV59" i="1"/>
  <c r="CW59" i="1"/>
  <c r="CX59" i="1"/>
  <c r="CY59" i="1"/>
  <c r="CZ59" i="1"/>
  <c r="DA59" i="1"/>
  <c r="DB59" i="1"/>
  <c r="DC59" i="1"/>
  <c r="DD59" i="1"/>
  <c r="DE59" i="1"/>
  <c r="DF59" i="1"/>
  <c r="DG59" i="1"/>
  <c r="DH59" i="1"/>
  <c r="DI59" i="1"/>
  <c r="DJ59" i="1"/>
  <c r="DK59" i="1"/>
  <c r="DL59" i="1"/>
  <c r="DM59" i="1"/>
  <c r="DN59" i="1"/>
  <c r="DO59" i="1"/>
  <c r="DP59" i="1"/>
  <c r="DQ59" i="1"/>
  <c r="DR59" i="1"/>
  <c r="DS59" i="1"/>
  <c r="DT59" i="1"/>
  <c r="BM60" i="1"/>
  <c r="BN60" i="1"/>
  <c r="BO60" i="1"/>
  <c r="BP60" i="1"/>
  <c r="BQ60" i="1"/>
  <c r="BR60" i="1"/>
  <c r="BS60" i="1"/>
  <c r="BT60" i="1"/>
  <c r="BU60" i="1"/>
  <c r="BV60" i="1"/>
  <c r="BW60" i="1"/>
  <c r="BX60" i="1"/>
  <c r="BY60" i="1"/>
  <c r="BZ60" i="1"/>
  <c r="CA60" i="1"/>
  <c r="CB60" i="1"/>
  <c r="CC60" i="1"/>
  <c r="CD60" i="1"/>
  <c r="CE60" i="1"/>
  <c r="CF60" i="1"/>
  <c r="CG60" i="1"/>
  <c r="CH60" i="1"/>
  <c r="CI60" i="1"/>
  <c r="CJ60" i="1"/>
  <c r="CK60" i="1"/>
  <c r="CL60" i="1"/>
  <c r="CM60" i="1"/>
  <c r="CN60" i="1"/>
  <c r="CO60" i="1"/>
  <c r="CP60" i="1"/>
  <c r="CQ60" i="1"/>
  <c r="CR60" i="1"/>
  <c r="CS60" i="1"/>
  <c r="CT60" i="1"/>
  <c r="CU60" i="1"/>
  <c r="CV60" i="1"/>
  <c r="CW60" i="1"/>
  <c r="CX60" i="1"/>
  <c r="CY60" i="1"/>
  <c r="CZ60" i="1"/>
  <c r="DA60" i="1"/>
  <c r="DB60" i="1"/>
  <c r="DC60" i="1"/>
  <c r="DD60" i="1"/>
  <c r="DE60" i="1"/>
  <c r="DF60" i="1"/>
  <c r="DG60" i="1"/>
  <c r="DH60" i="1"/>
  <c r="DI60" i="1"/>
  <c r="DJ60" i="1"/>
  <c r="DK60" i="1"/>
  <c r="DL60" i="1"/>
  <c r="DM60" i="1"/>
  <c r="DN60" i="1"/>
  <c r="DO60" i="1"/>
  <c r="DP60" i="1"/>
  <c r="DQ60" i="1"/>
  <c r="DR60" i="1"/>
  <c r="DS60" i="1"/>
  <c r="DT60" i="1"/>
  <c r="BM61" i="1"/>
  <c r="BN61" i="1"/>
  <c r="BO61" i="1"/>
  <c r="BP61" i="1"/>
  <c r="BQ61" i="1"/>
  <c r="BR61" i="1"/>
  <c r="BS61" i="1"/>
  <c r="BT61" i="1"/>
  <c r="BU61" i="1"/>
  <c r="BV61" i="1"/>
  <c r="BW61" i="1"/>
  <c r="BX61" i="1"/>
  <c r="BY61" i="1"/>
  <c r="BZ61" i="1"/>
  <c r="CA61" i="1"/>
  <c r="CB61" i="1"/>
  <c r="CC61" i="1"/>
  <c r="CD61" i="1"/>
  <c r="CE61" i="1"/>
  <c r="CF61" i="1"/>
  <c r="CG61" i="1"/>
  <c r="CH61" i="1"/>
  <c r="CI61" i="1"/>
  <c r="CJ61" i="1"/>
  <c r="CK61" i="1"/>
  <c r="CL61" i="1"/>
  <c r="CM61" i="1"/>
  <c r="CN61" i="1"/>
  <c r="CO61" i="1"/>
  <c r="CP61" i="1"/>
  <c r="CQ61" i="1"/>
  <c r="CR61" i="1"/>
  <c r="CS61" i="1"/>
  <c r="CT61" i="1"/>
  <c r="CU61" i="1"/>
  <c r="CV61" i="1"/>
  <c r="CW61" i="1"/>
  <c r="CX61" i="1"/>
  <c r="CY61" i="1"/>
  <c r="CZ61" i="1"/>
  <c r="DA61" i="1"/>
  <c r="DB61" i="1"/>
  <c r="DC61" i="1"/>
  <c r="DD61" i="1"/>
  <c r="DE61" i="1"/>
  <c r="DF61" i="1"/>
  <c r="DG61" i="1"/>
  <c r="DH61" i="1"/>
  <c r="DI61" i="1"/>
  <c r="DJ61" i="1"/>
  <c r="DK61" i="1"/>
  <c r="DL61" i="1"/>
  <c r="DM61" i="1"/>
  <c r="DN61" i="1"/>
  <c r="DO61" i="1"/>
  <c r="DP61" i="1"/>
  <c r="DQ61" i="1"/>
  <c r="DR61" i="1"/>
  <c r="DS61" i="1"/>
  <c r="DT61" i="1"/>
  <c r="BM62" i="1"/>
  <c r="BN62" i="1"/>
  <c r="BO62" i="1"/>
  <c r="BP62" i="1"/>
  <c r="BQ62" i="1"/>
  <c r="BR62" i="1"/>
  <c r="BS62" i="1"/>
  <c r="BT62" i="1"/>
  <c r="BU62" i="1"/>
  <c r="BV62" i="1"/>
  <c r="BW62" i="1"/>
  <c r="BX62" i="1"/>
  <c r="BY62" i="1"/>
  <c r="BZ62" i="1"/>
  <c r="CA62" i="1"/>
  <c r="CB62" i="1"/>
  <c r="CC62" i="1"/>
  <c r="CD62" i="1"/>
  <c r="CE62" i="1"/>
  <c r="CF62" i="1"/>
  <c r="CG62" i="1"/>
  <c r="CH62" i="1"/>
  <c r="CI62" i="1"/>
  <c r="CJ62" i="1"/>
  <c r="CK62" i="1"/>
  <c r="CL62" i="1"/>
  <c r="CM62" i="1"/>
  <c r="CN62" i="1"/>
  <c r="CO62" i="1"/>
  <c r="CP62" i="1"/>
  <c r="CQ62" i="1"/>
  <c r="CR62" i="1"/>
  <c r="CS62" i="1"/>
  <c r="CT62" i="1"/>
  <c r="CU62" i="1"/>
  <c r="CV62" i="1"/>
  <c r="CW62" i="1"/>
  <c r="CX62" i="1"/>
  <c r="CY62" i="1"/>
  <c r="CZ62" i="1"/>
  <c r="DA62" i="1"/>
  <c r="DB62" i="1"/>
  <c r="DC62" i="1"/>
  <c r="DD62" i="1"/>
  <c r="DE62" i="1"/>
  <c r="DF62" i="1"/>
  <c r="DG62" i="1"/>
  <c r="DH62" i="1"/>
  <c r="DI62" i="1"/>
  <c r="DJ62" i="1"/>
  <c r="DK62" i="1"/>
  <c r="DL62" i="1"/>
  <c r="DM62" i="1"/>
  <c r="DN62" i="1"/>
  <c r="DO62" i="1"/>
  <c r="DP62" i="1"/>
  <c r="DQ62" i="1"/>
  <c r="DR62" i="1"/>
  <c r="DS62" i="1"/>
  <c r="DT62" i="1"/>
  <c r="BM63" i="1"/>
  <c r="BN63" i="1"/>
  <c r="BO63" i="1"/>
  <c r="BP63" i="1"/>
  <c r="BQ63" i="1"/>
  <c r="BR63" i="1"/>
  <c r="BS63" i="1"/>
  <c r="BT63" i="1"/>
  <c r="BU63" i="1"/>
  <c r="BV63" i="1"/>
  <c r="BW63" i="1"/>
  <c r="BX63" i="1"/>
  <c r="BY63" i="1"/>
  <c r="BZ63" i="1"/>
  <c r="CA63" i="1"/>
  <c r="CB63" i="1"/>
  <c r="CC63" i="1"/>
  <c r="CD63" i="1"/>
  <c r="CE63" i="1"/>
  <c r="CF63" i="1"/>
  <c r="CG63" i="1"/>
  <c r="CH63" i="1"/>
  <c r="CI63" i="1"/>
  <c r="CJ63" i="1"/>
  <c r="CK63" i="1"/>
  <c r="CL63" i="1"/>
  <c r="CM63" i="1"/>
  <c r="CN63" i="1"/>
  <c r="CO63" i="1"/>
  <c r="CP63" i="1"/>
  <c r="CQ63" i="1"/>
  <c r="CR63" i="1"/>
  <c r="CS63" i="1"/>
  <c r="CT63" i="1"/>
  <c r="CU63" i="1"/>
  <c r="CV63" i="1"/>
  <c r="CW63" i="1"/>
  <c r="CX63" i="1"/>
  <c r="CY63" i="1"/>
  <c r="CZ63" i="1"/>
  <c r="DA63" i="1"/>
  <c r="DB63" i="1"/>
  <c r="DC63" i="1"/>
  <c r="DD63" i="1"/>
  <c r="DE63" i="1"/>
  <c r="DF63" i="1"/>
  <c r="DG63" i="1"/>
  <c r="DH63" i="1"/>
  <c r="DI63" i="1"/>
  <c r="DJ63" i="1"/>
  <c r="DK63" i="1"/>
  <c r="DL63" i="1"/>
  <c r="DM63" i="1"/>
  <c r="DN63" i="1"/>
  <c r="DO63" i="1"/>
  <c r="DP63" i="1"/>
  <c r="DQ63" i="1"/>
  <c r="DR63" i="1"/>
  <c r="DS63" i="1"/>
  <c r="DT63" i="1"/>
  <c r="BM64" i="1"/>
  <c r="BN64" i="1"/>
  <c r="BO64" i="1"/>
  <c r="BP64" i="1"/>
  <c r="BQ64" i="1"/>
  <c r="BR64" i="1"/>
  <c r="BS64" i="1"/>
  <c r="BT64" i="1"/>
  <c r="BU64" i="1"/>
  <c r="BV64" i="1"/>
  <c r="BW64" i="1"/>
  <c r="BX64" i="1"/>
  <c r="BY64" i="1"/>
  <c r="BZ64" i="1"/>
  <c r="CA64" i="1"/>
  <c r="CB64" i="1"/>
  <c r="CC64" i="1"/>
  <c r="CD64" i="1"/>
  <c r="CE64" i="1"/>
  <c r="CF64" i="1"/>
  <c r="CG64" i="1"/>
  <c r="CH64" i="1"/>
  <c r="CI64" i="1"/>
  <c r="CJ64" i="1"/>
  <c r="CK64" i="1"/>
  <c r="CL64" i="1"/>
  <c r="CM64" i="1"/>
  <c r="CN64" i="1"/>
  <c r="CO64" i="1"/>
  <c r="CP64" i="1"/>
  <c r="CQ64" i="1"/>
  <c r="CR64" i="1"/>
  <c r="CS64" i="1"/>
  <c r="CT64" i="1"/>
  <c r="CU64" i="1"/>
  <c r="CV64" i="1"/>
  <c r="CW64" i="1"/>
  <c r="CX64" i="1"/>
  <c r="CY64" i="1"/>
  <c r="CZ64" i="1"/>
  <c r="DA64" i="1"/>
  <c r="DB64" i="1"/>
  <c r="DC64" i="1"/>
  <c r="DD64" i="1"/>
  <c r="DE64" i="1"/>
  <c r="DF64" i="1"/>
  <c r="DG64" i="1"/>
  <c r="DH64" i="1"/>
  <c r="DI64" i="1"/>
  <c r="DJ64" i="1"/>
  <c r="DK64" i="1"/>
  <c r="DL64" i="1"/>
  <c r="DM64" i="1"/>
  <c r="DN64" i="1"/>
  <c r="DO64" i="1"/>
  <c r="DP64" i="1"/>
  <c r="DQ64" i="1"/>
  <c r="DR64" i="1"/>
  <c r="DS64" i="1"/>
  <c r="DT64" i="1"/>
  <c r="BM65" i="1"/>
  <c r="BN65" i="1"/>
  <c r="BO65" i="1"/>
  <c r="BP65" i="1"/>
  <c r="BQ65" i="1"/>
  <c r="BR65" i="1"/>
  <c r="BS65" i="1"/>
  <c r="BT65" i="1"/>
  <c r="BU65" i="1"/>
  <c r="BV65" i="1"/>
  <c r="BW65" i="1"/>
  <c r="BX65" i="1"/>
  <c r="BY65" i="1"/>
  <c r="BZ65" i="1"/>
  <c r="CA65" i="1"/>
  <c r="CB65" i="1"/>
  <c r="CC65" i="1"/>
  <c r="CD65" i="1"/>
  <c r="CE65" i="1"/>
  <c r="CF65" i="1"/>
  <c r="CG65" i="1"/>
  <c r="CH65" i="1"/>
  <c r="CI65" i="1"/>
  <c r="CJ65" i="1"/>
  <c r="CK65" i="1"/>
  <c r="CL65" i="1"/>
  <c r="CM65" i="1"/>
  <c r="CN65" i="1"/>
  <c r="CO65" i="1"/>
  <c r="CP65" i="1"/>
  <c r="CQ65" i="1"/>
  <c r="CR65" i="1"/>
  <c r="CS65" i="1"/>
  <c r="CT65" i="1"/>
  <c r="CU65" i="1"/>
  <c r="CV65" i="1"/>
  <c r="CW65" i="1"/>
  <c r="CX65" i="1"/>
  <c r="CY65" i="1"/>
  <c r="CZ65" i="1"/>
  <c r="DA65" i="1"/>
  <c r="DB65" i="1"/>
  <c r="DC65" i="1"/>
  <c r="DD65" i="1"/>
  <c r="DE65" i="1"/>
  <c r="DF65" i="1"/>
  <c r="DG65" i="1"/>
  <c r="DH65" i="1"/>
  <c r="DI65" i="1"/>
  <c r="DJ65" i="1"/>
  <c r="DK65" i="1"/>
  <c r="DL65" i="1"/>
  <c r="DM65" i="1"/>
  <c r="DN65" i="1"/>
  <c r="DO65" i="1"/>
  <c r="DP65" i="1"/>
  <c r="DQ65" i="1"/>
  <c r="DR65" i="1"/>
  <c r="DS65" i="1"/>
  <c r="DT65" i="1"/>
  <c r="BM66" i="1"/>
  <c r="BN66" i="1"/>
  <c r="BO66" i="1"/>
  <c r="BP66" i="1"/>
  <c r="BQ66" i="1"/>
  <c r="BR66" i="1"/>
  <c r="BS66" i="1"/>
  <c r="BT66" i="1"/>
  <c r="BU66" i="1"/>
  <c r="BV66" i="1"/>
  <c r="BW66" i="1"/>
  <c r="BX66" i="1"/>
  <c r="BY66" i="1"/>
  <c r="BZ66" i="1"/>
  <c r="CA66" i="1"/>
  <c r="CB66" i="1"/>
  <c r="CC66" i="1"/>
  <c r="CD66" i="1"/>
  <c r="CE66" i="1"/>
  <c r="CF66" i="1"/>
  <c r="CG66" i="1"/>
  <c r="CH66" i="1"/>
  <c r="CI66" i="1"/>
  <c r="CJ66" i="1"/>
  <c r="CK66" i="1"/>
  <c r="CL66" i="1"/>
  <c r="CM66" i="1"/>
  <c r="CN66" i="1"/>
  <c r="CO66" i="1"/>
  <c r="CP66" i="1"/>
  <c r="CQ66" i="1"/>
  <c r="CR66" i="1"/>
  <c r="CS66" i="1"/>
  <c r="CT66" i="1"/>
  <c r="CU66" i="1"/>
  <c r="CV66" i="1"/>
  <c r="CW66" i="1"/>
  <c r="CX66" i="1"/>
  <c r="CY66" i="1"/>
  <c r="CZ66" i="1"/>
  <c r="DA66" i="1"/>
  <c r="DB66" i="1"/>
  <c r="DC66" i="1"/>
  <c r="DD66" i="1"/>
  <c r="DE66" i="1"/>
  <c r="DF66" i="1"/>
  <c r="DG66" i="1"/>
  <c r="DH66" i="1"/>
  <c r="DI66" i="1"/>
  <c r="DJ66" i="1"/>
  <c r="DK66" i="1"/>
  <c r="DL66" i="1"/>
  <c r="DM66" i="1"/>
  <c r="DN66" i="1"/>
  <c r="DO66" i="1"/>
  <c r="DP66" i="1"/>
  <c r="DQ66" i="1"/>
  <c r="DR66" i="1"/>
  <c r="DS66" i="1"/>
  <c r="DT66" i="1"/>
  <c r="BM67" i="1"/>
  <c r="BN67" i="1"/>
  <c r="BO67" i="1"/>
  <c r="BP67" i="1"/>
  <c r="BQ67" i="1"/>
  <c r="BR67" i="1"/>
  <c r="BS67" i="1"/>
  <c r="BT67" i="1"/>
  <c r="BU67" i="1"/>
  <c r="BV67" i="1"/>
  <c r="BW67" i="1"/>
  <c r="BX67" i="1"/>
  <c r="BY67" i="1"/>
  <c r="BZ67" i="1"/>
  <c r="CA67" i="1"/>
  <c r="CB67" i="1"/>
  <c r="CC67" i="1"/>
  <c r="CD67" i="1"/>
  <c r="CE67" i="1"/>
  <c r="CF67" i="1"/>
  <c r="CG67" i="1"/>
  <c r="CH67" i="1"/>
  <c r="CI67" i="1"/>
  <c r="CJ67" i="1"/>
  <c r="CK67" i="1"/>
  <c r="CL67" i="1"/>
  <c r="CM67" i="1"/>
  <c r="CN67" i="1"/>
  <c r="CO67" i="1"/>
  <c r="CP67" i="1"/>
  <c r="CQ67" i="1"/>
  <c r="CR67" i="1"/>
  <c r="CS67" i="1"/>
  <c r="CT67" i="1"/>
  <c r="CU67" i="1"/>
  <c r="CV67" i="1"/>
  <c r="CW67" i="1"/>
  <c r="CX67" i="1"/>
  <c r="CY67" i="1"/>
  <c r="CZ67" i="1"/>
  <c r="DA67" i="1"/>
  <c r="DB67" i="1"/>
  <c r="DC67" i="1"/>
  <c r="DD67" i="1"/>
  <c r="DE67" i="1"/>
  <c r="DF67" i="1"/>
  <c r="DG67" i="1"/>
  <c r="DH67" i="1"/>
  <c r="DI67" i="1"/>
  <c r="DJ67" i="1"/>
  <c r="DK67" i="1"/>
  <c r="DL67" i="1"/>
  <c r="DM67" i="1"/>
  <c r="DN67" i="1"/>
  <c r="DO67" i="1"/>
  <c r="DP67" i="1"/>
  <c r="DQ67" i="1"/>
  <c r="DR67" i="1"/>
  <c r="DS67" i="1"/>
  <c r="DT67" i="1"/>
  <c r="BM68" i="1"/>
  <c r="BN68" i="1"/>
  <c r="BO68" i="1"/>
  <c r="BP68" i="1"/>
  <c r="BQ68" i="1"/>
  <c r="BR68" i="1"/>
  <c r="BS68" i="1"/>
  <c r="BT68" i="1"/>
  <c r="BU68" i="1"/>
  <c r="BV68" i="1"/>
  <c r="BW68" i="1"/>
  <c r="BX68" i="1"/>
  <c r="BY68" i="1"/>
  <c r="BZ68" i="1"/>
  <c r="CA68" i="1"/>
  <c r="CB68" i="1"/>
  <c r="CC68" i="1"/>
  <c r="CD68" i="1"/>
  <c r="CE68" i="1"/>
  <c r="CF68" i="1"/>
  <c r="CG68" i="1"/>
  <c r="CH68" i="1"/>
  <c r="CI68" i="1"/>
  <c r="CJ68" i="1"/>
  <c r="CK68" i="1"/>
  <c r="CL68" i="1"/>
  <c r="CM68" i="1"/>
  <c r="CN68" i="1"/>
  <c r="CO68" i="1"/>
  <c r="CP68" i="1"/>
  <c r="CQ68" i="1"/>
  <c r="CR68" i="1"/>
  <c r="CS68" i="1"/>
  <c r="CT68" i="1"/>
  <c r="CU68" i="1"/>
  <c r="CV68" i="1"/>
  <c r="CW68" i="1"/>
  <c r="CX68" i="1"/>
  <c r="CY68" i="1"/>
  <c r="CZ68" i="1"/>
  <c r="DA68" i="1"/>
  <c r="DB68" i="1"/>
  <c r="DC68" i="1"/>
  <c r="DD68" i="1"/>
  <c r="DE68" i="1"/>
  <c r="DF68" i="1"/>
  <c r="DG68" i="1"/>
  <c r="DH68" i="1"/>
  <c r="DI68" i="1"/>
  <c r="DJ68" i="1"/>
  <c r="DK68" i="1"/>
  <c r="DL68" i="1"/>
  <c r="DM68" i="1"/>
  <c r="DN68" i="1"/>
  <c r="DO68" i="1"/>
  <c r="DP68" i="1"/>
  <c r="DQ68" i="1"/>
  <c r="DR68" i="1"/>
  <c r="DS68" i="1"/>
  <c r="DT68" i="1"/>
  <c r="BM69" i="1"/>
  <c r="BN69" i="1"/>
  <c r="BO69" i="1"/>
  <c r="BP69" i="1"/>
  <c r="BQ69" i="1"/>
  <c r="BR69" i="1"/>
  <c r="BS69" i="1"/>
  <c r="BT69" i="1"/>
  <c r="BU69" i="1"/>
  <c r="BV69" i="1"/>
  <c r="BW69" i="1"/>
  <c r="BX69" i="1"/>
  <c r="BY69" i="1"/>
  <c r="BZ69" i="1"/>
  <c r="CA69" i="1"/>
  <c r="CB69" i="1"/>
  <c r="CC69" i="1"/>
  <c r="CD69" i="1"/>
  <c r="CE69" i="1"/>
  <c r="CF69" i="1"/>
  <c r="CG69" i="1"/>
  <c r="CH69" i="1"/>
  <c r="CI69" i="1"/>
  <c r="CJ69" i="1"/>
  <c r="CK69" i="1"/>
  <c r="CL69" i="1"/>
  <c r="CM69" i="1"/>
  <c r="CN69" i="1"/>
  <c r="CO69" i="1"/>
  <c r="CP69" i="1"/>
  <c r="CQ69" i="1"/>
  <c r="CR69" i="1"/>
  <c r="CS69" i="1"/>
  <c r="CT69" i="1"/>
  <c r="CU69" i="1"/>
  <c r="CV69" i="1"/>
  <c r="CW69" i="1"/>
  <c r="CX69" i="1"/>
  <c r="CY69" i="1"/>
  <c r="CZ69" i="1"/>
  <c r="DA69" i="1"/>
  <c r="DB69" i="1"/>
  <c r="DC69" i="1"/>
  <c r="DD69" i="1"/>
  <c r="DE69" i="1"/>
  <c r="DF69" i="1"/>
  <c r="DG69" i="1"/>
  <c r="DH69" i="1"/>
  <c r="DI69" i="1"/>
  <c r="DJ69" i="1"/>
  <c r="DK69" i="1"/>
  <c r="DL69" i="1"/>
  <c r="DM69" i="1"/>
  <c r="DN69" i="1"/>
  <c r="DO69" i="1"/>
  <c r="DP69" i="1"/>
  <c r="DQ69" i="1"/>
  <c r="DR69" i="1"/>
  <c r="DS69" i="1"/>
  <c r="DT69" i="1"/>
  <c r="BN10" i="1"/>
  <c r="BO10" i="1"/>
  <c r="BP10" i="1"/>
  <c r="BQ10" i="1"/>
  <c r="BR10" i="1"/>
  <c r="BS10" i="1"/>
  <c r="BT10" i="1"/>
  <c r="BU10" i="1"/>
  <c r="BV10" i="1"/>
  <c r="BW10" i="1"/>
  <c r="BX10" i="1"/>
  <c r="BY10" i="1"/>
  <c r="BZ10" i="1"/>
  <c r="CA10" i="1"/>
  <c r="CB10" i="1"/>
  <c r="CC10" i="1"/>
  <c r="CD10" i="1"/>
  <c r="CE10" i="1"/>
  <c r="CF10" i="1"/>
  <c r="CG10" i="1"/>
  <c r="CH10" i="1"/>
  <c r="CI10" i="1"/>
  <c r="CJ10" i="1"/>
  <c r="CK10" i="1"/>
  <c r="CL10" i="1"/>
  <c r="CM10" i="1"/>
  <c r="CN10" i="1"/>
  <c r="CO10" i="1"/>
  <c r="CP10" i="1"/>
  <c r="CQ10" i="1"/>
  <c r="CR10" i="1"/>
  <c r="CS10" i="1"/>
  <c r="CT10" i="1"/>
  <c r="CU10" i="1"/>
  <c r="CV10" i="1"/>
  <c r="CW10" i="1"/>
  <c r="CX10" i="1"/>
  <c r="CY10" i="1"/>
  <c r="CZ10" i="1"/>
  <c r="DA10" i="1"/>
  <c r="DB10" i="1"/>
  <c r="DC10" i="1"/>
  <c r="DD10" i="1"/>
  <c r="DE10" i="1"/>
  <c r="DF10" i="1"/>
  <c r="DG10" i="1"/>
  <c r="DH10" i="1"/>
  <c r="DI10" i="1"/>
  <c r="DJ10" i="1"/>
  <c r="DK10" i="1"/>
  <c r="DL10" i="1"/>
  <c r="DM10" i="1"/>
  <c r="DN10" i="1"/>
  <c r="DO10" i="1"/>
  <c r="DP10" i="1"/>
  <c r="DQ10" i="1"/>
  <c r="DR10" i="1"/>
  <c r="DS10" i="1"/>
  <c r="DT10" i="1"/>
  <c r="BM10" i="1"/>
  <c r="D2" i="2" l="1" a="1"/>
  <c r="D5" i="2" s="1"/>
  <c r="J63" i="2"/>
  <c r="K63" i="2"/>
  <c r="L63" i="2"/>
  <c r="M63" i="2"/>
  <c r="N63" i="2"/>
  <c r="O63" i="2"/>
  <c r="P63" i="2"/>
  <c r="Q63" i="2"/>
  <c r="R63" i="2"/>
  <c r="S63" i="2"/>
  <c r="J64" i="2"/>
  <c r="K64" i="2"/>
  <c r="L64" i="2"/>
  <c r="M64" i="2"/>
  <c r="N64" i="2"/>
  <c r="O64" i="2"/>
  <c r="P64" i="2"/>
  <c r="Q64" i="2"/>
  <c r="R64" i="2"/>
  <c r="S64" i="2"/>
  <c r="J65" i="2"/>
  <c r="K65" i="2"/>
  <c r="L65" i="2"/>
  <c r="M65" i="2"/>
  <c r="N65" i="2"/>
  <c r="O65" i="2"/>
  <c r="P65" i="2"/>
  <c r="Q65" i="2"/>
  <c r="R65" i="2"/>
  <c r="S65" i="2"/>
  <c r="J66" i="2"/>
  <c r="K66" i="2"/>
  <c r="L66" i="2"/>
  <c r="M66" i="2"/>
  <c r="N66" i="2"/>
  <c r="O66" i="2"/>
  <c r="P66" i="2"/>
  <c r="Q66" i="2"/>
  <c r="R66" i="2"/>
  <c r="S66" i="2"/>
  <c r="J67" i="2"/>
  <c r="K67" i="2"/>
  <c r="L67" i="2"/>
  <c r="M67" i="2"/>
  <c r="N67" i="2"/>
  <c r="O67" i="2"/>
  <c r="P67" i="2"/>
  <c r="Q67" i="2"/>
  <c r="R67" i="2"/>
  <c r="S67" i="2"/>
  <c r="J68" i="2"/>
  <c r="K68" i="2"/>
  <c r="L68" i="2"/>
  <c r="M68" i="2"/>
  <c r="N68" i="2"/>
  <c r="O68" i="2"/>
  <c r="P68" i="2"/>
  <c r="Q68" i="2"/>
  <c r="R68" i="2"/>
  <c r="S68" i="2"/>
  <c r="J69" i="2"/>
  <c r="K69" i="2"/>
  <c r="L69" i="2"/>
  <c r="M69" i="2"/>
  <c r="N69" i="2"/>
  <c r="O69" i="2"/>
  <c r="P69" i="2"/>
  <c r="Q69" i="2"/>
  <c r="R69" i="2"/>
  <c r="S69" i="2"/>
  <c r="J70" i="2"/>
  <c r="K70" i="2"/>
  <c r="L70" i="2"/>
  <c r="M70" i="2"/>
  <c r="N70" i="2"/>
  <c r="O70" i="2"/>
  <c r="P70" i="2"/>
  <c r="Q70" i="2"/>
  <c r="R70" i="2"/>
  <c r="S70" i="2"/>
  <c r="J71" i="2"/>
  <c r="K71" i="2"/>
  <c r="L71" i="2"/>
  <c r="M71" i="2"/>
  <c r="N71" i="2"/>
  <c r="O71" i="2"/>
  <c r="P71" i="2"/>
  <c r="Q71" i="2"/>
  <c r="R71" i="2"/>
  <c r="S71" i="2"/>
  <c r="J72" i="2"/>
  <c r="K72" i="2"/>
  <c r="L72" i="2"/>
  <c r="M72" i="2"/>
  <c r="N72" i="2"/>
  <c r="O72" i="2"/>
  <c r="P72" i="2"/>
  <c r="Q72" i="2"/>
  <c r="R72" i="2"/>
  <c r="S72" i="2"/>
  <c r="J73" i="2"/>
  <c r="K73" i="2"/>
  <c r="L73" i="2"/>
  <c r="M73" i="2"/>
  <c r="N73" i="2"/>
  <c r="O73" i="2"/>
  <c r="P73" i="2"/>
  <c r="Q73" i="2"/>
  <c r="R73" i="2"/>
  <c r="S73" i="2"/>
  <c r="J74" i="2"/>
  <c r="K74" i="2"/>
  <c r="L74" i="2"/>
  <c r="M74" i="2"/>
  <c r="N74" i="2"/>
  <c r="O74" i="2"/>
  <c r="P74" i="2"/>
  <c r="Q74" i="2"/>
  <c r="R74" i="2"/>
  <c r="S74" i="2"/>
  <c r="J75" i="2"/>
  <c r="K75" i="2"/>
  <c r="L75" i="2"/>
  <c r="M75" i="2"/>
  <c r="N75" i="2"/>
  <c r="O75" i="2"/>
  <c r="P75" i="2"/>
  <c r="Q75" i="2"/>
  <c r="R75" i="2"/>
  <c r="S75" i="2"/>
  <c r="J76" i="2"/>
  <c r="K76" i="2"/>
  <c r="L76" i="2"/>
  <c r="M76" i="2"/>
  <c r="N76" i="2"/>
  <c r="O76" i="2"/>
  <c r="P76" i="2"/>
  <c r="Q76" i="2"/>
  <c r="R76" i="2"/>
  <c r="S76" i="2"/>
  <c r="J77" i="2"/>
  <c r="K77" i="2"/>
  <c r="L77" i="2"/>
  <c r="M77" i="2"/>
  <c r="N77" i="2"/>
  <c r="O77" i="2"/>
  <c r="P77" i="2"/>
  <c r="Q77" i="2"/>
  <c r="R77" i="2"/>
  <c r="S77" i="2"/>
  <c r="J78" i="2"/>
  <c r="K78" i="2"/>
  <c r="L78" i="2"/>
  <c r="M78" i="2"/>
  <c r="N78" i="2"/>
  <c r="O78" i="2"/>
  <c r="P78" i="2"/>
  <c r="Q78" i="2"/>
  <c r="R78" i="2"/>
  <c r="S78" i="2"/>
  <c r="J79" i="2"/>
  <c r="K79" i="2"/>
  <c r="L79" i="2"/>
  <c r="M79" i="2"/>
  <c r="N79" i="2"/>
  <c r="O79" i="2"/>
  <c r="P79" i="2"/>
  <c r="Q79" i="2"/>
  <c r="R79" i="2"/>
  <c r="S79" i="2"/>
  <c r="J80" i="2"/>
  <c r="K80" i="2"/>
  <c r="L80" i="2"/>
  <c r="M80" i="2"/>
  <c r="N80" i="2"/>
  <c r="O80" i="2"/>
  <c r="P80" i="2"/>
  <c r="Q80" i="2"/>
  <c r="R80" i="2"/>
  <c r="S80" i="2"/>
  <c r="J81" i="2"/>
  <c r="K81" i="2"/>
  <c r="L81" i="2"/>
  <c r="M81" i="2"/>
  <c r="N81" i="2"/>
  <c r="O81" i="2"/>
  <c r="P81" i="2"/>
  <c r="Q81" i="2"/>
  <c r="R81" i="2"/>
  <c r="S81" i="2"/>
  <c r="J82" i="2"/>
  <c r="K82" i="2"/>
  <c r="L82" i="2"/>
  <c r="M82" i="2"/>
  <c r="N82" i="2"/>
  <c r="O82" i="2"/>
  <c r="P82" i="2"/>
  <c r="Q82" i="2"/>
  <c r="R82" i="2"/>
  <c r="S82" i="2"/>
  <c r="J83" i="2"/>
  <c r="K83" i="2"/>
  <c r="L83" i="2"/>
  <c r="M83" i="2"/>
  <c r="N83" i="2"/>
  <c r="O83" i="2"/>
  <c r="P83" i="2"/>
  <c r="Q83" i="2"/>
  <c r="R83" i="2"/>
  <c r="S83" i="2"/>
  <c r="J84" i="2"/>
  <c r="K84" i="2"/>
  <c r="L84" i="2"/>
  <c r="M84" i="2"/>
  <c r="N84" i="2"/>
  <c r="O84" i="2"/>
  <c r="P84" i="2"/>
  <c r="Q84" i="2"/>
  <c r="R84" i="2"/>
  <c r="S84" i="2"/>
  <c r="J85" i="2"/>
  <c r="K85" i="2"/>
  <c r="L85" i="2"/>
  <c r="M85" i="2"/>
  <c r="N85" i="2"/>
  <c r="O85" i="2"/>
  <c r="P85" i="2"/>
  <c r="Q85" i="2"/>
  <c r="R85" i="2"/>
  <c r="S85" i="2"/>
  <c r="J86" i="2"/>
  <c r="K86" i="2"/>
  <c r="L86" i="2"/>
  <c r="M86" i="2"/>
  <c r="N86" i="2"/>
  <c r="O86" i="2"/>
  <c r="P86" i="2"/>
  <c r="Q86" i="2"/>
  <c r="R86" i="2"/>
  <c r="S86" i="2"/>
  <c r="J87" i="2"/>
  <c r="K87" i="2"/>
  <c r="L87" i="2"/>
  <c r="M87" i="2"/>
  <c r="N87" i="2"/>
  <c r="O87" i="2"/>
  <c r="P87" i="2"/>
  <c r="Q87" i="2"/>
  <c r="R87" i="2"/>
  <c r="S87" i="2"/>
  <c r="J88" i="2"/>
  <c r="K88" i="2"/>
  <c r="L88" i="2"/>
  <c r="M88" i="2"/>
  <c r="N88" i="2"/>
  <c r="O88" i="2"/>
  <c r="P88" i="2"/>
  <c r="Q88" i="2"/>
  <c r="R88" i="2"/>
  <c r="S88" i="2"/>
  <c r="J89" i="2"/>
  <c r="K89" i="2"/>
  <c r="L89" i="2"/>
  <c r="M89" i="2"/>
  <c r="N89" i="2"/>
  <c r="O89" i="2"/>
  <c r="P89" i="2"/>
  <c r="Q89" i="2"/>
  <c r="R89" i="2"/>
  <c r="S89" i="2"/>
  <c r="J90" i="2"/>
  <c r="K90" i="2"/>
  <c r="L90" i="2"/>
  <c r="M90" i="2"/>
  <c r="N90" i="2"/>
  <c r="O90" i="2"/>
  <c r="P90" i="2"/>
  <c r="Q90" i="2"/>
  <c r="R90" i="2"/>
  <c r="S90" i="2"/>
  <c r="J91" i="2"/>
  <c r="K91" i="2"/>
  <c r="L91" i="2"/>
  <c r="M91" i="2"/>
  <c r="N91" i="2"/>
  <c r="O91" i="2"/>
  <c r="P91" i="2"/>
  <c r="Q91" i="2"/>
  <c r="R91" i="2"/>
  <c r="S91" i="2"/>
  <c r="J92" i="2"/>
  <c r="K92" i="2"/>
  <c r="L92" i="2"/>
  <c r="M92" i="2"/>
  <c r="N92" i="2"/>
  <c r="O92" i="2"/>
  <c r="P92" i="2"/>
  <c r="Q92" i="2"/>
  <c r="R92" i="2"/>
  <c r="S92" i="2"/>
  <c r="J93" i="2"/>
  <c r="K93" i="2"/>
  <c r="L93" i="2"/>
  <c r="M93" i="2"/>
  <c r="N93" i="2"/>
  <c r="O93" i="2"/>
  <c r="P93" i="2"/>
  <c r="Q93" i="2"/>
  <c r="R93" i="2"/>
  <c r="S93" i="2"/>
  <c r="J94" i="2"/>
  <c r="K94" i="2"/>
  <c r="L94" i="2"/>
  <c r="M94" i="2"/>
  <c r="N94" i="2"/>
  <c r="O94" i="2"/>
  <c r="P94" i="2"/>
  <c r="Q94" i="2"/>
  <c r="R94" i="2"/>
  <c r="S94" i="2"/>
  <c r="J95" i="2"/>
  <c r="K95" i="2"/>
  <c r="L95" i="2"/>
  <c r="M95" i="2"/>
  <c r="N95" i="2"/>
  <c r="O95" i="2"/>
  <c r="P95" i="2"/>
  <c r="Q95" i="2"/>
  <c r="R95" i="2"/>
  <c r="S95" i="2"/>
  <c r="J96" i="2"/>
  <c r="K96" i="2"/>
  <c r="L96" i="2"/>
  <c r="M96" i="2"/>
  <c r="N96" i="2"/>
  <c r="O96" i="2"/>
  <c r="P96" i="2"/>
  <c r="Q96" i="2"/>
  <c r="R96" i="2"/>
  <c r="S96" i="2"/>
  <c r="J97" i="2"/>
  <c r="K97" i="2"/>
  <c r="L97" i="2"/>
  <c r="M97" i="2"/>
  <c r="N97" i="2"/>
  <c r="O97" i="2"/>
  <c r="P97" i="2"/>
  <c r="Q97" i="2"/>
  <c r="R97" i="2"/>
  <c r="S97" i="2"/>
  <c r="J98" i="2"/>
  <c r="K98" i="2"/>
  <c r="L98" i="2"/>
  <c r="M98" i="2"/>
  <c r="N98" i="2"/>
  <c r="O98" i="2"/>
  <c r="P98" i="2"/>
  <c r="Q98" i="2"/>
  <c r="R98" i="2"/>
  <c r="S98" i="2"/>
  <c r="J99" i="2"/>
  <c r="K99" i="2"/>
  <c r="L99" i="2"/>
  <c r="M99" i="2"/>
  <c r="N99" i="2"/>
  <c r="O99" i="2"/>
  <c r="P99" i="2"/>
  <c r="Q99" i="2"/>
  <c r="R99" i="2"/>
  <c r="S99" i="2"/>
  <c r="J100" i="2"/>
  <c r="K100" i="2"/>
  <c r="L100" i="2"/>
  <c r="M100" i="2"/>
  <c r="N100" i="2"/>
  <c r="O100" i="2"/>
  <c r="P100" i="2"/>
  <c r="Q100" i="2"/>
  <c r="R100" i="2"/>
  <c r="S100" i="2"/>
  <c r="J101" i="2"/>
  <c r="K101" i="2"/>
  <c r="L101" i="2"/>
  <c r="M101" i="2"/>
  <c r="N101" i="2"/>
  <c r="O101" i="2"/>
  <c r="P101" i="2"/>
  <c r="Q101" i="2"/>
  <c r="R101" i="2"/>
  <c r="S101" i="2"/>
  <c r="J102" i="2"/>
  <c r="K102" i="2"/>
  <c r="L102" i="2"/>
  <c r="M102" i="2"/>
  <c r="N102" i="2"/>
  <c r="O102" i="2"/>
  <c r="P102" i="2"/>
  <c r="Q102" i="2"/>
  <c r="R102" i="2"/>
  <c r="S102" i="2"/>
  <c r="J103" i="2"/>
  <c r="K103" i="2"/>
  <c r="L103" i="2"/>
  <c r="M103" i="2"/>
  <c r="N103" i="2"/>
  <c r="O103" i="2"/>
  <c r="P103" i="2"/>
  <c r="Q103" i="2"/>
  <c r="R103" i="2"/>
  <c r="S103" i="2"/>
  <c r="J104" i="2"/>
  <c r="K104" i="2"/>
  <c r="L104" i="2"/>
  <c r="M104" i="2"/>
  <c r="N104" i="2"/>
  <c r="O104" i="2"/>
  <c r="P104" i="2"/>
  <c r="Q104" i="2"/>
  <c r="R104" i="2"/>
  <c r="S104" i="2"/>
  <c r="J105" i="2"/>
  <c r="K105" i="2"/>
  <c r="L105" i="2"/>
  <c r="M105" i="2"/>
  <c r="N105" i="2"/>
  <c r="O105" i="2"/>
  <c r="P105" i="2"/>
  <c r="Q105" i="2"/>
  <c r="R105" i="2"/>
  <c r="S105" i="2"/>
  <c r="J106" i="2"/>
  <c r="K106" i="2"/>
  <c r="L106" i="2"/>
  <c r="M106" i="2"/>
  <c r="N106" i="2"/>
  <c r="O106" i="2"/>
  <c r="P106" i="2"/>
  <c r="Q106" i="2"/>
  <c r="R106" i="2"/>
  <c r="S106" i="2"/>
  <c r="J107" i="2"/>
  <c r="K107" i="2"/>
  <c r="L107" i="2"/>
  <c r="M107" i="2"/>
  <c r="N107" i="2"/>
  <c r="O107" i="2"/>
  <c r="P107" i="2"/>
  <c r="Q107" i="2"/>
  <c r="R107" i="2"/>
  <c r="S107" i="2"/>
  <c r="J108" i="2"/>
  <c r="K108" i="2"/>
  <c r="L108" i="2"/>
  <c r="M108" i="2"/>
  <c r="N108" i="2"/>
  <c r="O108" i="2"/>
  <c r="P108" i="2"/>
  <c r="Q108" i="2"/>
  <c r="R108" i="2"/>
  <c r="S108" i="2"/>
  <c r="J109" i="2"/>
  <c r="K109" i="2"/>
  <c r="L109" i="2"/>
  <c r="M109" i="2"/>
  <c r="N109" i="2"/>
  <c r="O109" i="2"/>
  <c r="P109" i="2"/>
  <c r="Q109" i="2"/>
  <c r="R109" i="2"/>
  <c r="S109" i="2"/>
  <c r="J110" i="2"/>
  <c r="K110" i="2"/>
  <c r="L110" i="2"/>
  <c r="M110" i="2"/>
  <c r="N110" i="2"/>
  <c r="O110" i="2"/>
  <c r="P110" i="2"/>
  <c r="Q110" i="2"/>
  <c r="R110" i="2"/>
  <c r="S110" i="2"/>
  <c r="J111" i="2"/>
  <c r="K111" i="2"/>
  <c r="L111" i="2"/>
  <c r="M111" i="2"/>
  <c r="N111" i="2"/>
  <c r="O111" i="2"/>
  <c r="P111" i="2"/>
  <c r="Q111" i="2"/>
  <c r="R111" i="2"/>
  <c r="S111" i="2"/>
  <c r="J112" i="2"/>
  <c r="K112" i="2"/>
  <c r="L112" i="2"/>
  <c r="M112" i="2"/>
  <c r="N112" i="2"/>
  <c r="O112" i="2"/>
  <c r="P112" i="2"/>
  <c r="Q112" i="2"/>
  <c r="R112" i="2"/>
  <c r="S112" i="2"/>
  <c r="J113" i="2"/>
  <c r="K113" i="2"/>
  <c r="L113" i="2"/>
  <c r="M113" i="2"/>
  <c r="N113" i="2"/>
  <c r="O113" i="2"/>
  <c r="P113" i="2"/>
  <c r="Q113" i="2"/>
  <c r="R113" i="2"/>
  <c r="S113" i="2"/>
  <c r="J114" i="2"/>
  <c r="K114" i="2"/>
  <c r="L114" i="2"/>
  <c r="M114" i="2"/>
  <c r="N114" i="2"/>
  <c r="O114" i="2"/>
  <c r="P114" i="2"/>
  <c r="Q114" i="2"/>
  <c r="R114" i="2"/>
  <c r="S114" i="2"/>
  <c r="J115" i="2"/>
  <c r="K115" i="2"/>
  <c r="L115" i="2"/>
  <c r="M115" i="2"/>
  <c r="N115" i="2"/>
  <c r="O115" i="2"/>
  <c r="P115" i="2"/>
  <c r="Q115" i="2"/>
  <c r="R115" i="2"/>
  <c r="S115" i="2"/>
  <c r="J116" i="2"/>
  <c r="K116" i="2"/>
  <c r="L116" i="2"/>
  <c r="M116" i="2"/>
  <c r="N116" i="2"/>
  <c r="O116" i="2"/>
  <c r="P116" i="2"/>
  <c r="Q116" i="2"/>
  <c r="R116" i="2"/>
  <c r="S116" i="2"/>
  <c r="J117" i="2"/>
  <c r="K117" i="2"/>
  <c r="L117" i="2"/>
  <c r="M117" i="2"/>
  <c r="N117" i="2"/>
  <c r="O117" i="2"/>
  <c r="P117" i="2"/>
  <c r="Q117" i="2"/>
  <c r="R117" i="2"/>
  <c r="S117" i="2"/>
  <c r="J118" i="2"/>
  <c r="K118" i="2"/>
  <c r="L118" i="2"/>
  <c r="M118" i="2"/>
  <c r="N118" i="2"/>
  <c r="O118" i="2"/>
  <c r="P118" i="2"/>
  <c r="Q118" i="2"/>
  <c r="R118" i="2"/>
  <c r="S118" i="2"/>
  <c r="J119" i="2"/>
  <c r="K119" i="2"/>
  <c r="L119" i="2"/>
  <c r="M119" i="2"/>
  <c r="N119" i="2"/>
  <c r="O119" i="2"/>
  <c r="P119" i="2"/>
  <c r="Q119" i="2"/>
  <c r="R119" i="2"/>
  <c r="S119" i="2"/>
  <c r="J120" i="2"/>
  <c r="K120" i="2"/>
  <c r="L120" i="2"/>
  <c r="M120" i="2"/>
  <c r="N120" i="2"/>
  <c r="O120" i="2"/>
  <c r="P120" i="2"/>
  <c r="Q120" i="2"/>
  <c r="R120" i="2"/>
  <c r="S120" i="2"/>
  <c r="J121" i="2"/>
  <c r="K121" i="2"/>
  <c r="L121" i="2"/>
  <c r="M121" i="2"/>
  <c r="N121" i="2"/>
  <c r="O121" i="2"/>
  <c r="P121" i="2"/>
  <c r="Q121" i="2"/>
  <c r="R121" i="2"/>
  <c r="S121" i="2"/>
  <c r="S62" i="2"/>
  <c r="R62" i="2"/>
  <c r="Q62" i="2"/>
  <c r="P62" i="2"/>
  <c r="O62" i="2"/>
  <c r="N62" i="2"/>
  <c r="M62" i="2"/>
  <c r="L62" i="2"/>
  <c r="K62" i="2"/>
  <c r="J62" i="2"/>
  <c r="D8" i="2" l="1"/>
  <c r="D4" i="2"/>
  <c r="D7" i="2"/>
  <c r="D3" i="2"/>
  <c r="D10" i="2"/>
  <c r="D6" i="2"/>
  <c r="D2" i="2"/>
  <c r="D9" i="2"/>
  <c r="E2" i="2"/>
  <c r="E2" i="1" l="1"/>
  <c r="I3" i="2" l="1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2" i="2"/>
  <c r="P8" i="1" l="1"/>
  <c r="G8" i="1"/>
  <c r="F8" i="1"/>
  <c r="E8" i="1"/>
  <c r="V7" i="1"/>
  <c r="W7" i="1"/>
  <c r="X7" i="1"/>
  <c r="Y7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N7" i="1"/>
  <c r="AO7" i="1"/>
  <c r="AP7" i="1"/>
  <c r="AQ7" i="1"/>
  <c r="AR7" i="1"/>
  <c r="AS7" i="1"/>
  <c r="AT7" i="1"/>
  <c r="AU7" i="1"/>
  <c r="AV7" i="1"/>
  <c r="AW7" i="1"/>
  <c r="AX7" i="1"/>
  <c r="AY7" i="1"/>
  <c r="AZ7" i="1"/>
  <c r="BA7" i="1"/>
  <c r="BB7" i="1"/>
  <c r="BC7" i="1"/>
  <c r="BD7" i="1"/>
  <c r="BE7" i="1"/>
  <c r="BF7" i="1"/>
  <c r="BG7" i="1"/>
  <c r="BH7" i="1"/>
  <c r="BI7" i="1"/>
  <c r="BJ7" i="1"/>
  <c r="BK7" i="1"/>
  <c r="BL7" i="1"/>
  <c r="V8" i="1"/>
  <c r="W8" i="1"/>
  <c r="X8" i="1"/>
  <c r="Y8" i="1"/>
  <c r="Z8" i="1"/>
  <c r="AA8" i="1"/>
  <c r="AB8" i="1"/>
  <c r="AC8" i="1"/>
  <c r="AD8" i="1"/>
  <c r="AE8" i="1"/>
  <c r="AF8" i="1"/>
  <c r="AG8" i="1"/>
  <c r="AH8" i="1"/>
  <c r="AI8" i="1"/>
  <c r="AJ8" i="1"/>
  <c r="AK8" i="1"/>
  <c r="AL8" i="1"/>
  <c r="AM8" i="1"/>
  <c r="AN8" i="1"/>
  <c r="AO8" i="1"/>
  <c r="AP8" i="1"/>
  <c r="AQ8" i="1"/>
  <c r="AR8" i="1"/>
  <c r="AS8" i="1"/>
  <c r="AT8" i="1"/>
  <c r="AU8" i="1"/>
  <c r="AV8" i="1"/>
  <c r="AW8" i="1"/>
  <c r="AX8" i="1"/>
  <c r="AY8" i="1"/>
  <c r="AZ8" i="1"/>
  <c r="BA8" i="1"/>
  <c r="BB8" i="1"/>
  <c r="BC8" i="1"/>
  <c r="BD8" i="1"/>
  <c r="BE8" i="1"/>
  <c r="BF8" i="1"/>
  <c r="BG8" i="1"/>
  <c r="BH8" i="1"/>
  <c r="BI8" i="1"/>
  <c r="BJ8" i="1"/>
  <c r="BK8" i="1"/>
  <c r="BL8" i="1"/>
  <c r="V9" i="1"/>
  <c r="W9" i="1"/>
  <c r="X9" i="1"/>
  <c r="Y9" i="1"/>
  <c r="Z9" i="1"/>
  <c r="AA9" i="1"/>
  <c r="AB9" i="1"/>
  <c r="AC9" i="1"/>
  <c r="AD9" i="1"/>
  <c r="AE9" i="1"/>
  <c r="AF9" i="1"/>
  <c r="AG9" i="1"/>
  <c r="AH9" i="1"/>
  <c r="AI9" i="1"/>
  <c r="AJ9" i="1"/>
  <c r="AL9" i="1"/>
  <c r="AM9" i="1"/>
  <c r="AN9" i="1"/>
  <c r="AO9" i="1"/>
  <c r="AP9" i="1"/>
  <c r="AQ9" i="1"/>
  <c r="AR9" i="1"/>
  <c r="AS9" i="1"/>
  <c r="AT9" i="1"/>
  <c r="AU9" i="1"/>
  <c r="AV9" i="1"/>
  <c r="AW9" i="1"/>
  <c r="AX9" i="1"/>
  <c r="AY9" i="1"/>
  <c r="AZ9" i="1"/>
  <c r="BA9" i="1"/>
  <c r="BB9" i="1"/>
  <c r="BC9" i="1"/>
  <c r="BD9" i="1"/>
  <c r="BE9" i="1"/>
  <c r="BF9" i="1"/>
  <c r="BG9" i="1"/>
  <c r="BH9" i="1"/>
  <c r="BI9" i="1"/>
  <c r="BJ9" i="1"/>
  <c r="BK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T9" i="1"/>
  <c r="U9" i="1"/>
  <c r="H8" i="1"/>
  <c r="I8" i="1"/>
  <c r="J8" i="1"/>
  <c r="K8" i="1"/>
  <c r="L8" i="1"/>
  <c r="M8" i="1"/>
  <c r="N8" i="1"/>
  <c r="O8" i="1"/>
  <c r="Q8" i="1"/>
  <c r="R8" i="1"/>
  <c r="S8" i="1"/>
  <c r="T8" i="1"/>
  <c r="U8" i="1"/>
  <c r="I1" i="2"/>
  <c r="DU7" i="1" s="1"/>
  <c r="DT7" i="1" l="1"/>
  <c r="DS7" i="1"/>
  <c r="DR7" i="1"/>
  <c r="DQ7" i="1"/>
  <c r="DP7" i="1"/>
  <c r="DO7" i="1"/>
  <c r="DN7" i="1"/>
  <c r="DM7" i="1"/>
  <c r="DL7" i="1"/>
  <c r="DK7" i="1"/>
  <c r="DJ7" i="1"/>
  <c r="DI7" i="1"/>
  <c r="DH7" i="1"/>
  <c r="DG7" i="1"/>
  <c r="DF7" i="1"/>
  <c r="DE7" i="1"/>
  <c r="DD7" i="1"/>
  <c r="DC7" i="1"/>
  <c r="DB7" i="1"/>
  <c r="DA7" i="1"/>
  <c r="CZ7" i="1"/>
  <c r="CY7" i="1"/>
  <c r="CX7" i="1"/>
  <c r="CW7" i="1"/>
  <c r="CV7" i="1"/>
  <c r="CU7" i="1"/>
  <c r="CT7" i="1"/>
  <c r="CS7" i="1"/>
  <c r="CR7" i="1"/>
  <c r="CQ7" i="1"/>
  <c r="CP7" i="1"/>
  <c r="CO7" i="1"/>
  <c r="CN7" i="1"/>
  <c r="CM7" i="1"/>
  <c r="CL7" i="1"/>
  <c r="CK7" i="1"/>
  <c r="CJ7" i="1"/>
  <c r="CI7" i="1"/>
  <c r="CH7" i="1"/>
  <c r="CG7" i="1"/>
  <c r="CF7" i="1"/>
  <c r="F7" i="1"/>
  <c r="G7" i="1"/>
  <c r="H7" i="1"/>
  <c r="I7" i="1"/>
  <c r="J7" i="1"/>
  <c r="K7" i="1"/>
  <c r="L7" i="1"/>
  <c r="M7" i="1"/>
  <c r="N7" i="1"/>
  <c r="O7" i="1"/>
  <c r="P7" i="1"/>
  <c r="Q7" i="1"/>
  <c r="R7" i="1"/>
  <c r="S7" i="1"/>
  <c r="T7" i="1"/>
  <c r="U7" i="1"/>
  <c r="E7" i="1"/>
  <c r="DV7" i="1" l="1"/>
  <c r="DU11" i="1" l="1"/>
  <c r="DU27" i="1"/>
  <c r="DU43" i="1"/>
  <c r="DU59" i="1"/>
  <c r="DU50" i="1"/>
  <c r="DU20" i="1"/>
  <c r="DU69" i="1"/>
  <c r="DU24" i="1"/>
  <c r="DU12" i="1"/>
  <c r="DU28" i="1"/>
  <c r="DU44" i="1"/>
  <c r="DU60" i="1"/>
  <c r="DU51" i="1"/>
  <c r="DU54" i="1"/>
  <c r="DU55" i="1"/>
  <c r="DU57" i="1"/>
  <c r="DU42" i="1"/>
  <c r="DU13" i="1"/>
  <c r="DU29" i="1"/>
  <c r="DU45" i="1"/>
  <c r="DU61" i="1"/>
  <c r="DU65" i="1"/>
  <c r="DU35" i="1"/>
  <c r="DU52" i="1"/>
  <c r="DU14" i="1"/>
  <c r="DU30" i="1"/>
  <c r="DU46" i="1"/>
  <c r="DU62" i="1"/>
  <c r="DU49" i="1"/>
  <c r="DU36" i="1"/>
  <c r="DU53" i="1"/>
  <c r="DU23" i="1"/>
  <c r="DU58" i="1"/>
  <c r="DU15" i="1"/>
  <c r="DU31" i="1"/>
  <c r="DU47" i="1"/>
  <c r="DU63" i="1"/>
  <c r="DU33" i="1"/>
  <c r="DU68" i="1"/>
  <c r="DU37" i="1"/>
  <c r="DU10" i="1"/>
  <c r="DV10" i="1" s="1"/>
  <c r="DU25" i="1"/>
  <c r="DU16" i="1"/>
  <c r="DU32" i="1"/>
  <c r="DU48" i="1"/>
  <c r="DU64" i="1"/>
  <c r="DU17" i="1"/>
  <c r="DU19" i="1"/>
  <c r="DU67" i="1"/>
  <c r="DU22" i="1"/>
  <c r="DU40" i="1"/>
  <c r="DU56" i="1"/>
  <c r="DU41" i="1"/>
  <c r="DU38" i="1"/>
  <c r="DU18" i="1"/>
  <c r="DU34" i="1"/>
  <c r="DU66" i="1"/>
  <c r="DU21" i="1"/>
  <c r="DU39" i="1"/>
  <c r="DU26" i="1"/>
  <c r="DV47" i="1"/>
  <c r="DV67" i="1" l="1"/>
  <c r="DV63" i="1"/>
  <c r="DV59" i="1"/>
  <c r="DV55" i="1"/>
  <c r="DV51" i="1"/>
  <c r="DV43" i="1"/>
  <c r="DV39" i="1"/>
  <c r="DV35" i="1"/>
  <c r="DV31" i="1"/>
  <c r="DV27" i="1"/>
  <c r="DV23" i="1"/>
  <c r="DV19" i="1"/>
  <c r="DV15" i="1"/>
  <c r="DV11" i="1"/>
  <c r="DV66" i="1"/>
  <c r="DV62" i="1"/>
  <c r="DV58" i="1"/>
  <c r="DV54" i="1"/>
  <c r="DV50" i="1"/>
  <c r="DV46" i="1"/>
  <c r="DV42" i="1"/>
  <c r="DV38" i="1"/>
  <c r="DV34" i="1"/>
  <c r="DV30" i="1"/>
  <c r="DV26" i="1"/>
  <c r="DV22" i="1"/>
  <c r="DV18" i="1"/>
  <c r="DV14" i="1"/>
  <c r="DV69" i="1"/>
  <c r="DV65" i="1"/>
  <c r="DV61" i="1"/>
  <c r="DV57" i="1"/>
  <c r="DV53" i="1"/>
  <c r="DV49" i="1"/>
  <c r="DV45" i="1"/>
  <c r="DV41" i="1"/>
  <c r="DV37" i="1"/>
  <c r="DV33" i="1"/>
  <c r="DV29" i="1"/>
  <c r="DV25" i="1"/>
  <c r="DV21" i="1"/>
  <c r="DV17" i="1"/>
  <c r="DV13" i="1"/>
  <c r="DV64" i="1"/>
  <c r="DV44" i="1"/>
  <c r="DV32" i="1"/>
  <c r="DV20" i="1"/>
  <c r="DV12" i="1"/>
  <c r="DV68" i="1"/>
  <c r="DV60" i="1"/>
  <c r="DV56" i="1"/>
  <c r="DV52" i="1"/>
  <c r="DV48" i="1"/>
  <c r="DV40" i="1"/>
  <c r="DV36" i="1"/>
  <c r="DV28" i="1"/>
  <c r="DV24" i="1"/>
  <c r="DV16" i="1"/>
</calcChain>
</file>

<file path=xl/sharedStrings.xml><?xml version="1.0" encoding="utf-8"?>
<sst xmlns="http://schemas.openxmlformats.org/spreadsheetml/2006/main" count="21" uniqueCount="21">
  <si>
    <t>N°</t>
  </si>
  <si>
    <t>NOMBRE</t>
  </si>
  <si>
    <t>RUT</t>
  </si>
  <si>
    <t>Puntaje</t>
  </si>
  <si>
    <t>Nota</t>
  </si>
  <si>
    <t>Puntajes:</t>
  </si>
  <si>
    <t>Preguntas:</t>
  </si>
  <si>
    <t>PRUEBA 1</t>
  </si>
  <si>
    <t>CALCULO I</t>
  </si>
  <si>
    <t>RLLGGL</t>
  </si>
  <si>
    <t>orden</t>
  </si>
  <si>
    <t>nombre</t>
  </si>
  <si>
    <t>pregunta</t>
  </si>
  <si>
    <t>PUNTAJE</t>
  </si>
  <si>
    <t>exigencia</t>
  </si>
  <si>
    <t>ESCALA</t>
  </si>
  <si>
    <t>CARACTER DE INGRESO</t>
  </si>
  <si>
    <t>DESCRIPCIÓN</t>
  </si>
  <si>
    <t>Grupo</t>
  </si>
  <si>
    <t>PUNTAJES</t>
  </si>
  <si>
    <t>Reproceso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</si>
</sst>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11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0" fillId="6" borderId="3" xfId="0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0" fillId="0" borderId="0" xfId="0" applyAlignment="1">
      <alignment horizontal="right"/>
    </xf>
    <xf numFmtId="0" fontId="4" fillId="7" borderId="0" xfId="0" applyFont="1" applyFill="1"/>
    <xf numFmtId="0" fontId="0" fillId="0" borderId="0" xfId="0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0" fontId="0" fillId="0" borderId="6" xfId="0" applyBorder="1"/>
    <xf numFmtId="0" fontId="0" fillId="0" borderId="2" xfId="0" applyBorder="1" applyAlignment="1">
      <alignment horizontal="center"/>
    </xf>
    <xf numFmtId="0" fontId="0" fillId="0" borderId="2" xfId="0" applyBorder="1"/>
    <xf numFmtId="0" fontId="0" fillId="2" borderId="4" xfId="0" applyFill="1" applyBorder="1" applyAlignment="1">
      <alignment horizontal="center" vertical="center"/>
    </xf>
    <xf numFmtId="164" fontId="0" fillId="3" borderId="4" xfId="0" applyNumberForma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0" fillId="9" borderId="12" xfId="0" applyFill="1" applyBorder="1" applyAlignment="1" applyProtection="1">
      <alignment horizontal="center" vertical="center"/>
      <protection locked="0"/>
    </xf>
    <xf numFmtId="0" fontId="7" fillId="5" borderId="9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9" fontId="0" fillId="0" borderId="0" xfId="0" applyNumberFormat="1"/>
    <xf numFmtId="0" fontId="5" fillId="9" borderId="7" xfId="0" applyFont="1" applyFill="1" applyBorder="1" applyAlignment="1">
      <alignment horizontal="center" vertical="center"/>
    </xf>
    <xf numFmtId="0" fontId="6" fillId="9" borderId="12" xfId="0" applyFont="1" applyFill="1" applyBorder="1" applyAlignment="1">
      <alignment horizontal="center" vertical="center"/>
    </xf>
    <xf numFmtId="0" fontId="0" fillId="9" borderId="16" xfId="0" applyFill="1" applyBorder="1" applyAlignment="1" applyProtection="1">
      <alignment horizontal="center" vertical="center"/>
      <protection locked="0"/>
    </xf>
    <xf numFmtId="0" fontId="0" fillId="9" borderId="17" xfId="0" applyFill="1" applyBorder="1" applyAlignment="1" applyProtection="1">
      <alignment horizontal="center" vertical="center"/>
      <protection locked="0"/>
    </xf>
    <xf numFmtId="0" fontId="0" fillId="9" borderId="18" xfId="0" applyFill="1" applyBorder="1" applyAlignment="1" applyProtection="1">
      <alignment horizontal="center" vertical="center"/>
      <protection locked="0"/>
    </xf>
    <xf numFmtId="0" fontId="0" fillId="9" borderId="19" xfId="0" applyFill="1" applyBorder="1" applyAlignment="1" applyProtection="1">
      <alignment horizontal="center" vertical="center"/>
      <protection locked="0"/>
    </xf>
    <xf numFmtId="0" fontId="0" fillId="9" borderId="20" xfId="0" applyFill="1" applyBorder="1" applyAlignment="1" applyProtection="1">
      <alignment horizontal="center" vertical="center"/>
      <protection locked="0"/>
    </xf>
    <xf numFmtId="0" fontId="0" fillId="0" borderId="12" xfId="0" applyBorder="1" applyAlignment="1">
      <alignment horizontal="center"/>
    </xf>
    <xf numFmtId="0" fontId="0" fillId="0" borderId="12" xfId="0" applyBorder="1"/>
    <xf numFmtId="0" fontId="0" fillId="6" borderId="22" xfId="0" applyFill="1" applyBorder="1" applyAlignment="1" applyProtection="1">
      <alignment horizontal="center" vertical="center"/>
      <protection locked="0"/>
    </xf>
    <xf numFmtId="164" fontId="0" fillId="3" borderId="23" xfId="0" applyNumberFormat="1" applyFill="1" applyBorder="1" applyAlignment="1">
      <alignment horizontal="center" vertical="center"/>
    </xf>
    <xf numFmtId="0" fontId="0" fillId="0" borderId="21" xfId="0" applyBorder="1" applyAlignment="1">
      <alignment horizontal="center"/>
    </xf>
    <xf numFmtId="0" fontId="0" fillId="0" borderId="21" xfId="0" applyBorder="1"/>
    <xf numFmtId="0" fontId="8" fillId="0" borderId="0" xfId="0" applyFont="1"/>
    <xf numFmtId="0" fontId="0" fillId="0" borderId="0" xfId="0" applyAlignment="1">
      <alignment horizontal="center" wrapText="1"/>
    </xf>
    <xf numFmtId="0" fontId="0" fillId="0" borderId="0" xfId="0" applyAlignment="1">
      <alignment wrapText="1"/>
    </xf>
    <xf numFmtId="0" fontId="0" fillId="11" borderId="0" xfId="0" applyFill="1"/>
    <xf numFmtId="0" fontId="0" fillId="9" borderId="15" xfId="0" applyFill="1" applyBorder="1" applyAlignment="1">
      <alignment horizontal="center" textRotation="90" wrapText="1"/>
    </xf>
    <xf numFmtId="0" fontId="4" fillId="10" borderId="0" xfId="0" applyFont="1" applyFill="1" applyAlignment="1">
      <alignment horizontal="center" vertical="center" wrapText="1"/>
    </xf>
    <xf numFmtId="0" fontId="4" fillId="10" borderId="0" xfId="0" applyFont="1" applyFill="1" applyAlignment="1">
      <alignment horizontal="center" vertical="center"/>
    </xf>
    <xf numFmtId="0" fontId="1" fillId="0" borderId="14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7" fillId="12" borderId="24" xfId="0" applyFont="1" applyFill="1" applyBorder="1" applyAlignment="1">
      <alignment horizontal="center" vertical="center" textRotation="90"/>
    </xf>
    <xf numFmtId="0" fontId="4" fillId="0" borderId="26" xfId="0" applyFont="1" applyBorder="1" applyProtection="1">
      <protection locked="0"/>
    </xf>
    <xf numFmtId="0" fontId="4" fillId="0" borderId="27" xfId="0" applyFont="1" applyBorder="1" applyProtection="1">
      <protection locked="0"/>
    </xf>
    <xf numFmtId="0" fontId="4" fillId="0" borderId="25" xfId="0" applyFont="1" applyBorder="1" applyProtection="1">
      <protection locked="0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</cellXfs>
  <cellStyles count="1">
    <cellStyle name="Normal" xfId="0" builtinId="0"/>
  </cellStyles>
  <dxfs count="9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</dxfs>
  <tableStyles count="0" defaultTableStyle="TableStyleMedium9" defaultPivotStyle="PivotStyleLight16"/>
  <colors>
    <mruColors>
      <color rgb="FFDBE5F1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200025</xdr:colOff>
          <xdr:row>1</xdr:row>
          <xdr:rowOff>180975</xdr:rowOff>
        </xdr:from>
        <xdr:to>
          <xdr:col>3</xdr:col>
          <xdr:colOff>381000</xdr:colOff>
          <xdr:row>2</xdr:row>
          <xdr:rowOff>0</xdr:rowOff>
        </xdr:to>
        <xdr:sp macro="" textlink="">
          <xdr:nvSpPr>
            <xdr:cNvPr id="2101" name="Button 53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00000000-0008-0000-0000-00003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Ordenar por Grupo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83343</xdr:colOff>
          <xdr:row>4</xdr:row>
          <xdr:rowOff>59531</xdr:rowOff>
        </xdr:from>
        <xdr:to>
          <xdr:col>1</xdr:col>
          <xdr:colOff>2021681</xdr:colOff>
          <xdr:row>8</xdr:row>
          <xdr:rowOff>1404938</xdr:rowOff>
        </xdr:to>
        <xdr:pic>
          <xdr:nvPicPr>
            <xdr:cNvPr id="6" name="5 Imagen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Hoja1!$C$1:$C$6" spid="_x0000_s225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531" y="1464469"/>
              <a:ext cx="1938338" cy="141684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2000250</xdr:colOff>
          <xdr:row>4</xdr:row>
          <xdr:rowOff>59531</xdr:rowOff>
        </xdr:from>
        <xdr:to>
          <xdr:col>1</xdr:col>
          <xdr:colOff>2667000</xdr:colOff>
          <xdr:row>8</xdr:row>
          <xdr:rowOff>1404938</xdr:rowOff>
        </xdr:to>
        <xdr:pic>
          <xdr:nvPicPr>
            <xdr:cNvPr id="8" name="7 Imagen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Hoja1!$D$1:$D$6" spid="_x0000_s2260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2357438" y="1464469"/>
              <a:ext cx="666750" cy="141684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2643189</xdr:colOff>
          <xdr:row>4</xdr:row>
          <xdr:rowOff>59531</xdr:rowOff>
        </xdr:from>
        <xdr:to>
          <xdr:col>1</xdr:col>
          <xdr:colOff>3614739</xdr:colOff>
          <xdr:row>8</xdr:row>
          <xdr:rowOff>1404938</xdr:rowOff>
        </xdr:to>
        <xdr:pic>
          <xdr:nvPicPr>
            <xdr:cNvPr id="10" name="9 Imagen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Hoja1!$A$1:$A$6" spid="_x0000_s2261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3000377" y="1464469"/>
              <a:ext cx="971550" cy="141684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9</xdr:row>
          <xdr:rowOff>28575</xdr:rowOff>
        </xdr:from>
        <xdr:to>
          <xdr:col>126</xdr:col>
          <xdr:colOff>400050</xdr:colOff>
          <xdr:row>9</xdr:row>
          <xdr:rowOff>257175</xdr:rowOff>
        </xdr:to>
        <xdr:sp macro="" textlink="">
          <xdr:nvSpPr>
            <xdr:cNvPr id="2169" name="Check Box 121" hidden="1">
              <a:extLst>
                <a:ext uri="{63B3BB69-23CF-44E3-9099-C40C66FF867C}">
                  <a14:compatExt spid="_x0000_s2169"/>
                </a:ext>
                <a:ext uri="{FF2B5EF4-FFF2-40B4-BE49-F238E27FC236}">
                  <a16:creationId xmlns:a16="http://schemas.microsoft.com/office/drawing/2014/main" id="{00000000-0008-0000-0000-00007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10</xdr:row>
          <xdr:rowOff>28575</xdr:rowOff>
        </xdr:from>
        <xdr:to>
          <xdr:col>126</xdr:col>
          <xdr:colOff>400050</xdr:colOff>
          <xdr:row>10</xdr:row>
          <xdr:rowOff>257175</xdr:rowOff>
        </xdr:to>
        <xdr:sp macro="" textlink="">
          <xdr:nvSpPr>
            <xdr:cNvPr id="2170" name="Check Box 122" hidden="1">
              <a:extLst>
                <a:ext uri="{63B3BB69-23CF-44E3-9099-C40C66FF867C}">
                  <a14:compatExt spid="_x0000_s2170"/>
                </a:ext>
                <a:ext uri="{FF2B5EF4-FFF2-40B4-BE49-F238E27FC236}">
                  <a16:creationId xmlns:a16="http://schemas.microsoft.com/office/drawing/2014/main" id="{00000000-0008-0000-0000-00007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11</xdr:row>
          <xdr:rowOff>28575</xdr:rowOff>
        </xdr:from>
        <xdr:to>
          <xdr:col>126</xdr:col>
          <xdr:colOff>400050</xdr:colOff>
          <xdr:row>11</xdr:row>
          <xdr:rowOff>257175</xdr:rowOff>
        </xdr:to>
        <xdr:sp macro="" textlink="">
          <xdr:nvSpPr>
            <xdr:cNvPr id="2171" name="Check Box 123" hidden="1">
              <a:extLst>
                <a:ext uri="{63B3BB69-23CF-44E3-9099-C40C66FF867C}">
                  <a14:compatExt spid="_x0000_s2171"/>
                </a:ext>
                <a:ext uri="{FF2B5EF4-FFF2-40B4-BE49-F238E27FC236}">
                  <a16:creationId xmlns:a16="http://schemas.microsoft.com/office/drawing/2014/main" id="{00000000-0008-0000-0000-00007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12</xdr:row>
          <xdr:rowOff>28575</xdr:rowOff>
        </xdr:from>
        <xdr:to>
          <xdr:col>126</xdr:col>
          <xdr:colOff>400050</xdr:colOff>
          <xdr:row>12</xdr:row>
          <xdr:rowOff>257175</xdr:rowOff>
        </xdr:to>
        <xdr:sp macro="" textlink="">
          <xdr:nvSpPr>
            <xdr:cNvPr id="2172" name="Check Box 124" hidden="1">
              <a:extLst>
                <a:ext uri="{63B3BB69-23CF-44E3-9099-C40C66FF867C}">
                  <a14:compatExt spid="_x0000_s2172"/>
                </a:ext>
                <a:ext uri="{FF2B5EF4-FFF2-40B4-BE49-F238E27FC236}">
                  <a16:creationId xmlns:a16="http://schemas.microsoft.com/office/drawing/2014/main" id="{00000000-0008-0000-0000-00007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13</xdr:row>
          <xdr:rowOff>28575</xdr:rowOff>
        </xdr:from>
        <xdr:to>
          <xdr:col>126</xdr:col>
          <xdr:colOff>400050</xdr:colOff>
          <xdr:row>13</xdr:row>
          <xdr:rowOff>257175</xdr:rowOff>
        </xdr:to>
        <xdr:sp macro="" textlink="">
          <xdr:nvSpPr>
            <xdr:cNvPr id="2173" name="Check Box 125" hidden="1">
              <a:extLst>
                <a:ext uri="{63B3BB69-23CF-44E3-9099-C40C66FF867C}">
                  <a14:compatExt spid="_x0000_s2173"/>
                </a:ext>
                <a:ext uri="{FF2B5EF4-FFF2-40B4-BE49-F238E27FC236}">
                  <a16:creationId xmlns:a16="http://schemas.microsoft.com/office/drawing/2014/main" id="{00000000-0008-0000-0000-00007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14</xdr:row>
          <xdr:rowOff>28575</xdr:rowOff>
        </xdr:from>
        <xdr:to>
          <xdr:col>126</xdr:col>
          <xdr:colOff>400050</xdr:colOff>
          <xdr:row>14</xdr:row>
          <xdr:rowOff>257175</xdr:rowOff>
        </xdr:to>
        <xdr:sp macro="" textlink="">
          <xdr:nvSpPr>
            <xdr:cNvPr id="2174" name="Check Box 126" hidden="1">
              <a:extLst>
                <a:ext uri="{63B3BB69-23CF-44E3-9099-C40C66FF867C}">
                  <a14:compatExt spid="_x0000_s2174"/>
                </a:ext>
                <a:ext uri="{FF2B5EF4-FFF2-40B4-BE49-F238E27FC236}">
                  <a16:creationId xmlns:a16="http://schemas.microsoft.com/office/drawing/2014/main" id="{00000000-0008-0000-0000-00007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15</xdr:row>
          <xdr:rowOff>28575</xdr:rowOff>
        </xdr:from>
        <xdr:to>
          <xdr:col>126</xdr:col>
          <xdr:colOff>400050</xdr:colOff>
          <xdr:row>15</xdr:row>
          <xdr:rowOff>257175</xdr:rowOff>
        </xdr:to>
        <xdr:sp macro="" textlink="">
          <xdr:nvSpPr>
            <xdr:cNvPr id="2175" name="Check Box 127" hidden="1">
              <a:extLst>
                <a:ext uri="{63B3BB69-23CF-44E3-9099-C40C66FF867C}">
                  <a14:compatExt spid="_x0000_s2175"/>
                </a:ext>
                <a:ext uri="{FF2B5EF4-FFF2-40B4-BE49-F238E27FC236}">
                  <a16:creationId xmlns:a16="http://schemas.microsoft.com/office/drawing/2014/main" id="{00000000-0008-0000-0000-00007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16</xdr:row>
          <xdr:rowOff>28575</xdr:rowOff>
        </xdr:from>
        <xdr:to>
          <xdr:col>126</xdr:col>
          <xdr:colOff>400050</xdr:colOff>
          <xdr:row>16</xdr:row>
          <xdr:rowOff>257175</xdr:rowOff>
        </xdr:to>
        <xdr:sp macro="" textlink="">
          <xdr:nvSpPr>
            <xdr:cNvPr id="2176" name="Check Box 128" hidden="1">
              <a:extLst>
                <a:ext uri="{63B3BB69-23CF-44E3-9099-C40C66FF867C}">
                  <a14:compatExt spid="_x0000_s2176"/>
                </a:ext>
                <a:ext uri="{FF2B5EF4-FFF2-40B4-BE49-F238E27FC236}">
                  <a16:creationId xmlns:a16="http://schemas.microsoft.com/office/drawing/2014/main" id="{00000000-0008-0000-0000-00008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17</xdr:row>
          <xdr:rowOff>28575</xdr:rowOff>
        </xdr:from>
        <xdr:to>
          <xdr:col>126</xdr:col>
          <xdr:colOff>400050</xdr:colOff>
          <xdr:row>17</xdr:row>
          <xdr:rowOff>257175</xdr:rowOff>
        </xdr:to>
        <xdr:sp macro="" textlink="">
          <xdr:nvSpPr>
            <xdr:cNvPr id="2177" name="Check Box 129" hidden="1">
              <a:extLst>
                <a:ext uri="{63B3BB69-23CF-44E3-9099-C40C66FF867C}">
                  <a14:compatExt spid="_x0000_s2177"/>
                </a:ext>
                <a:ext uri="{FF2B5EF4-FFF2-40B4-BE49-F238E27FC236}">
                  <a16:creationId xmlns:a16="http://schemas.microsoft.com/office/drawing/2014/main" id="{00000000-0008-0000-0000-00008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18</xdr:row>
          <xdr:rowOff>28575</xdr:rowOff>
        </xdr:from>
        <xdr:to>
          <xdr:col>126</xdr:col>
          <xdr:colOff>400050</xdr:colOff>
          <xdr:row>18</xdr:row>
          <xdr:rowOff>257175</xdr:rowOff>
        </xdr:to>
        <xdr:sp macro="" textlink="">
          <xdr:nvSpPr>
            <xdr:cNvPr id="2178" name="Check Box 130" hidden="1">
              <a:extLst>
                <a:ext uri="{63B3BB69-23CF-44E3-9099-C40C66FF867C}">
                  <a14:compatExt spid="_x0000_s2178"/>
                </a:ext>
                <a:ext uri="{FF2B5EF4-FFF2-40B4-BE49-F238E27FC236}">
                  <a16:creationId xmlns:a16="http://schemas.microsoft.com/office/drawing/2014/main" id="{00000000-0008-0000-0000-00008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19</xdr:row>
          <xdr:rowOff>28575</xdr:rowOff>
        </xdr:from>
        <xdr:to>
          <xdr:col>126</xdr:col>
          <xdr:colOff>400050</xdr:colOff>
          <xdr:row>19</xdr:row>
          <xdr:rowOff>257175</xdr:rowOff>
        </xdr:to>
        <xdr:sp macro="" textlink="">
          <xdr:nvSpPr>
            <xdr:cNvPr id="2179" name="Check Box 131" hidden="1">
              <a:extLst>
                <a:ext uri="{63B3BB69-23CF-44E3-9099-C40C66FF867C}">
                  <a14:compatExt spid="_x0000_s2179"/>
                </a:ext>
                <a:ext uri="{FF2B5EF4-FFF2-40B4-BE49-F238E27FC236}">
                  <a16:creationId xmlns:a16="http://schemas.microsoft.com/office/drawing/2014/main" id="{00000000-0008-0000-0000-00008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20</xdr:row>
          <xdr:rowOff>28575</xdr:rowOff>
        </xdr:from>
        <xdr:to>
          <xdr:col>126</xdr:col>
          <xdr:colOff>400050</xdr:colOff>
          <xdr:row>20</xdr:row>
          <xdr:rowOff>257175</xdr:rowOff>
        </xdr:to>
        <xdr:sp macro="" textlink="">
          <xdr:nvSpPr>
            <xdr:cNvPr id="2180" name="Check Box 132" hidden="1">
              <a:extLst>
                <a:ext uri="{63B3BB69-23CF-44E3-9099-C40C66FF867C}">
                  <a14:compatExt spid="_x0000_s2180"/>
                </a:ext>
                <a:ext uri="{FF2B5EF4-FFF2-40B4-BE49-F238E27FC236}">
                  <a16:creationId xmlns:a16="http://schemas.microsoft.com/office/drawing/2014/main" id="{00000000-0008-0000-0000-00008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21</xdr:row>
          <xdr:rowOff>28575</xdr:rowOff>
        </xdr:from>
        <xdr:to>
          <xdr:col>126</xdr:col>
          <xdr:colOff>400050</xdr:colOff>
          <xdr:row>21</xdr:row>
          <xdr:rowOff>257175</xdr:rowOff>
        </xdr:to>
        <xdr:sp macro="" textlink="">
          <xdr:nvSpPr>
            <xdr:cNvPr id="2181" name="Check Box 133" hidden="1">
              <a:extLst>
                <a:ext uri="{63B3BB69-23CF-44E3-9099-C40C66FF867C}">
                  <a14:compatExt spid="_x0000_s2181"/>
                </a:ext>
                <a:ext uri="{FF2B5EF4-FFF2-40B4-BE49-F238E27FC236}">
                  <a16:creationId xmlns:a16="http://schemas.microsoft.com/office/drawing/2014/main" id="{00000000-0008-0000-0000-00008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22</xdr:row>
          <xdr:rowOff>28575</xdr:rowOff>
        </xdr:from>
        <xdr:to>
          <xdr:col>126</xdr:col>
          <xdr:colOff>400050</xdr:colOff>
          <xdr:row>22</xdr:row>
          <xdr:rowOff>257175</xdr:rowOff>
        </xdr:to>
        <xdr:sp macro="" textlink="">
          <xdr:nvSpPr>
            <xdr:cNvPr id="2182" name="Check Box 134" hidden="1">
              <a:extLst>
                <a:ext uri="{63B3BB69-23CF-44E3-9099-C40C66FF867C}">
                  <a14:compatExt spid="_x0000_s2182"/>
                </a:ext>
                <a:ext uri="{FF2B5EF4-FFF2-40B4-BE49-F238E27FC236}">
                  <a16:creationId xmlns:a16="http://schemas.microsoft.com/office/drawing/2014/main" id="{00000000-0008-0000-0000-00008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23</xdr:row>
          <xdr:rowOff>28575</xdr:rowOff>
        </xdr:from>
        <xdr:to>
          <xdr:col>126</xdr:col>
          <xdr:colOff>400050</xdr:colOff>
          <xdr:row>23</xdr:row>
          <xdr:rowOff>257175</xdr:rowOff>
        </xdr:to>
        <xdr:sp macro="" textlink="">
          <xdr:nvSpPr>
            <xdr:cNvPr id="2183" name="Check Box 135" hidden="1">
              <a:extLst>
                <a:ext uri="{63B3BB69-23CF-44E3-9099-C40C66FF867C}">
                  <a14:compatExt spid="_x0000_s2183"/>
                </a:ext>
                <a:ext uri="{FF2B5EF4-FFF2-40B4-BE49-F238E27FC236}">
                  <a16:creationId xmlns:a16="http://schemas.microsoft.com/office/drawing/2014/main" id="{00000000-0008-0000-0000-00008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24</xdr:row>
          <xdr:rowOff>28575</xdr:rowOff>
        </xdr:from>
        <xdr:to>
          <xdr:col>126</xdr:col>
          <xdr:colOff>400050</xdr:colOff>
          <xdr:row>24</xdr:row>
          <xdr:rowOff>257175</xdr:rowOff>
        </xdr:to>
        <xdr:sp macro="" textlink="">
          <xdr:nvSpPr>
            <xdr:cNvPr id="2184" name="Check Box 136" hidden="1">
              <a:extLst>
                <a:ext uri="{63B3BB69-23CF-44E3-9099-C40C66FF867C}">
                  <a14:compatExt spid="_x0000_s2184"/>
                </a:ext>
                <a:ext uri="{FF2B5EF4-FFF2-40B4-BE49-F238E27FC236}">
                  <a16:creationId xmlns:a16="http://schemas.microsoft.com/office/drawing/2014/main" id="{00000000-0008-0000-0000-00008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25</xdr:row>
          <xdr:rowOff>28575</xdr:rowOff>
        </xdr:from>
        <xdr:to>
          <xdr:col>126</xdr:col>
          <xdr:colOff>400050</xdr:colOff>
          <xdr:row>25</xdr:row>
          <xdr:rowOff>257175</xdr:rowOff>
        </xdr:to>
        <xdr:sp macro="" textlink="">
          <xdr:nvSpPr>
            <xdr:cNvPr id="2185" name="Check Box 137" hidden="1">
              <a:extLst>
                <a:ext uri="{63B3BB69-23CF-44E3-9099-C40C66FF867C}">
                  <a14:compatExt spid="_x0000_s2185"/>
                </a:ext>
                <a:ext uri="{FF2B5EF4-FFF2-40B4-BE49-F238E27FC236}">
                  <a16:creationId xmlns:a16="http://schemas.microsoft.com/office/drawing/2014/main" id="{00000000-0008-0000-0000-00008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26</xdr:row>
          <xdr:rowOff>28575</xdr:rowOff>
        </xdr:from>
        <xdr:to>
          <xdr:col>126</xdr:col>
          <xdr:colOff>400050</xdr:colOff>
          <xdr:row>26</xdr:row>
          <xdr:rowOff>257175</xdr:rowOff>
        </xdr:to>
        <xdr:sp macro="" textlink="">
          <xdr:nvSpPr>
            <xdr:cNvPr id="2186" name="Check Box 138" hidden="1">
              <a:extLst>
                <a:ext uri="{63B3BB69-23CF-44E3-9099-C40C66FF867C}">
                  <a14:compatExt spid="_x0000_s2186"/>
                </a:ext>
                <a:ext uri="{FF2B5EF4-FFF2-40B4-BE49-F238E27FC236}">
                  <a16:creationId xmlns:a16="http://schemas.microsoft.com/office/drawing/2014/main" id="{00000000-0008-0000-0000-00008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27</xdr:row>
          <xdr:rowOff>28575</xdr:rowOff>
        </xdr:from>
        <xdr:to>
          <xdr:col>126</xdr:col>
          <xdr:colOff>400050</xdr:colOff>
          <xdr:row>27</xdr:row>
          <xdr:rowOff>257175</xdr:rowOff>
        </xdr:to>
        <xdr:sp macro="" textlink="">
          <xdr:nvSpPr>
            <xdr:cNvPr id="2187" name="Check Box 139" hidden="1">
              <a:extLst>
                <a:ext uri="{63B3BB69-23CF-44E3-9099-C40C66FF867C}">
                  <a14:compatExt spid="_x0000_s2187"/>
                </a:ext>
                <a:ext uri="{FF2B5EF4-FFF2-40B4-BE49-F238E27FC236}">
                  <a16:creationId xmlns:a16="http://schemas.microsoft.com/office/drawing/2014/main" id="{00000000-0008-0000-0000-00008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28</xdr:row>
          <xdr:rowOff>28575</xdr:rowOff>
        </xdr:from>
        <xdr:to>
          <xdr:col>126</xdr:col>
          <xdr:colOff>400050</xdr:colOff>
          <xdr:row>28</xdr:row>
          <xdr:rowOff>257175</xdr:rowOff>
        </xdr:to>
        <xdr:sp macro="" textlink="">
          <xdr:nvSpPr>
            <xdr:cNvPr id="2188" name="Check Box 140" hidden="1">
              <a:extLst>
                <a:ext uri="{63B3BB69-23CF-44E3-9099-C40C66FF867C}">
                  <a14:compatExt spid="_x0000_s2188"/>
                </a:ext>
                <a:ext uri="{FF2B5EF4-FFF2-40B4-BE49-F238E27FC236}">
                  <a16:creationId xmlns:a16="http://schemas.microsoft.com/office/drawing/2014/main" id="{00000000-0008-0000-0000-00008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29</xdr:row>
          <xdr:rowOff>28575</xdr:rowOff>
        </xdr:from>
        <xdr:to>
          <xdr:col>126</xdr:col>
          <xdr:colOff>400050</xdr:colOff>
          <xdr:row>29</xdr:row>
          <xdr:rowOff>257175</xdr:rowOff>
        </xdr:to>
        <xdr:sp macro="" textlink="">
          <xdr:nvSpPr>
            <xdr:cNvPr id="2189" name="Check Box 141" hidden="1">
              <a:extLst>
                <a:ext uri="{63B3BB69-23CF-44E3-9099-C40C66FF867C}">
                  <a14:compatExt spid="_x0000_s2189"/>
                </a:ext>
                <a:ext uri="{FF2B5EF4-FFF2-40B4-BE49-F238E27FC236}">
                  <a16:creationId xmlns:a16="http://schemas.microsoft.com/office/drawing/2014/main" id="{00000000-0008-0000-0000-00008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30</xdr:row>
          <xdr:rowOff>28575</xdr:rowOff>
        </xdr:from>
        <xdr:to>
          <xdr:col>126</xdr:col>
          <xdr:colOff>400050</xdr:colOff>
          <xdr:row>30</xdr:row>
          <xdr:rowOff>257175</xdr:rowOff>
        </xdr:to>
        <xdr:sp macro="" textlink="">
          <xdr:nvSpPr>
            <xdr:cNvPr id="2190" name="Check Box 142" hidden="1">
              <a:extLst>
                <a:ext uri="{63B3BB69-23CF-44E3-9099-C40C66FF867C}">
                  <a14:compatExt spid="_x0000_s2190"/>
                </a:ext>
                <a:ext uri="{FF2B5EF4-FFF2-40B4-BE49-F238E27FC236}">
                  <a16:creationId xmlns:a16="http://schemas.microsoft.com/office/drawing/2014/main" id="{00000000-0008-0000-0000-00008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31</xdr:row>
          <xdr:rowOff>28575</xdr:rowOff>
        </xdr:from>
        <xdr:to>
          <xdr:col>126</xdr:col>
          <xdr:colOff>400050</xdr:colOff>
          <xdr:row>31</xdr:row>
          <xdr:rowOff>257175</xdr:rowOff>
        </xdr:to>
        <xdr:sp macro="" textlink="">
          <xdr:nvSpPr>
            <xdr:cNvPr id="2191" name="Check Box 143" hidden="1">
              <a:extLst>
                <a:ext uri="{63B3BB69-23CF-44E3-9099-C40C66FF867C}">
                  <a14:compatExt spid="_x0000_s2191"/>
                </a:ext>
                <a:ext uri="{FF2B5EF4-FFF2-40B4-BE49-F238E27FC236}">
                  <a16:creationId xmlns:a16="http://schemas.microsoft.com/office/drawing/2014/main" id="{00000000-0008-0000-0000-00008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32</xdr:row>
          <xdr:rowOff>28575</xdr:rowOff>
        </xdr:from>
        <xdr:to>
          <xdr:col>126</xdr:col>
          <xdr:colOff>400050</xdr:colOff>
          <xdr:row>32</xdr:row>
          <xdr:rowOff>257175</xdr:rowOff>
        </xdr:to>
        <xdr:sp macro="" textlink="">
          <xdr:nvSpPr>
            <xdr:cNvPr id="2192" name="Check Box 144" hidden="1">
              <a:extLst>
                <a:ext uri="{63B3BB69-23CF-44E3-9099-C40C66FF867C}">
                  <a14:compatExt spid="_x0000_s2192"/>
                </a:ext>
                <a:ext uri="{FF2B5EF4-FFF2-40B4-BE49-F238E27FC236}">
                  <a16:creationId xmlns:a16="http://schemas.microsoft.com/office/drawing/2014/main" id="{00000000-0008-0000-0000-00009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33</xdr:row>
          <xdr:rowOff>28575</xdr:rowOff>
        </xdr:from>
        <xdr:to>
          <xdr:col>126</xdr:col>
          <xdr:colOff>400050</xdr:colOff>
          <xdr:row>33</xdr:row>
          <xdr:rowOff>257175</xdr:rowOff>
        </xdr:to>
        <xdr:sp macro="" textlink="">
          <xdr:nvSpPr>
            <xdr:cNvPr id="2193" name="Check Box 145" hidden="1">
              <a:extLst>
                <a:ext uri="{63B3BB69-23CF-44E3-9099-C40C66FF867C}">
                  <a14:compatExt spid="_x0000_s2193"/>
                </a:ext>
                <a:ext uri="{FF2B5EF4-FFF2-40B4-BE49-F238E27FC236}">
                  <a16:creationId xmlns:a16="http://schemas.microsoft.com/office/drawing/2014/main" id="{00000000-0008-0000-0000-00009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34</xdr:row>
          <xdr:rowOff>28575</xdr:rowOff>
        </xdr:from>
        <xdr:to>
          <xdr:col>126</xdr:col>
          <xdr:colOff>400050</xdr:colOff>
          <xdr:row>34</xdr:row>
          <xdr:rowOff>257175</xdr:rowOff>
        </xdr:to>
        <xdr:sp macro="" textlink="">
          <xdr:nvSpPr>
            <xdr:cNvPr id="2194" name="Check Box 146" hidden="1">
              <a:extLst>
                <a:ext uri="{63B3BB69-23CF-44E3-9099-C40C66FF867C}">
                  <a14:compatExt spid="_x0000_s2194"/>
                </a:ext>
                <a:ext uri="{FF2B5EF4-FFF2-40B4-BE49-F238E27FC236}">
                  <a16:creationId xmlns:a16="http://schemas.microsoft.com/office/drawing/2014/main" id="{00000000-0008-0000-0000-00009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35</xdr:row>
          <xdr:rowOff>28575</xdr:rowOff>
        </xdr:from>
        <xdr:to>
          <xdr:col>126</xdr:col>
          <xdr:colOff>400050</xdr:colOff>
          <xdr:row>35</xdr:row>
          <xdr:rowOff>257175</xdr:rowOff>
        </xdr:to>
        <xdr:sp macro="" textlink="">
          <xdr:nvSpPr>
            <xdr:cNvPr id="2195" name="Check Box 147" hidden="1">
              <a:extLst>
                <a:ext uri="{63B3BB69-23CF-44E3-9099-C40C66FF867C}">
                  <a14:compatExt spid="_x0000_s2195"/>
                </a:ext>
                <a:ext uri="{FF2B5EF4-FFF2-40B4-BE49-F238E27FC236}">
                  <a16:creationId xmlns:a16="http://schemas.microsoft.com/office/drawing/2014/main" id="{00000000-0008-0000-0000-00009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36</xdr:row>
          <xdr:rowOff>28575</xdr:rowOff>
        </xdr:from>
        <xdr:to>
          <xdr:col>126</xdr:col>
          <xdr:colOff>400050</xdr:colOff>
          <xdr:row>36</xdr:row>
          <xdr:rowOff>257175</xdr:rowOff>
        </xdr:to>
        <xdr:sp macro="" textlink="">
          <xdr:nvSpPr>
            <xdr:cNvPr id="2196" name="Check Box 148" hidden="1">
              <a:extLst>
                <a:ext uri="{63B3BB69-23CF-44E3-9099-C40C66FF867C}">
                  <a14:compatExt spid="_x0000_s2196"/>
                </a:ext>
                <a:ext uri="{FF2B5EF4-FFF2-40B4-BE49-F238E27FC236}">
                  <a16:creationId xmlns:a16="http://schemas.microsoft.com/office/drawing/2014/main" id="{00000000-0008-0000-0000-00009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37</xdr:row>
          <xdr:rowOff>28575</xdr:rowOff>
        </xdr:from>
        <xdr:to>
          <xdr:col>126</xdr:col>
          <xdr:colOff>400050</xdr:colOff>
          <xdr:row>37</xdr:row>
          <xdr:rowOff>257175</xdr:rowOff>
        </xdr:to>
        <xdr:sp macro="" textlink="">
          <xdr:nvSpPr>
            <xdr:cNvPr id="2197" name="Check Box 149" hidden="1">
              <a:extLst>
                <a:ext uri="{63B3BB69-23CF-44E3-9099-C40C66FF867C}">
                  <a14:compatExt spid="_x0000_s2197"/>
                </a:ext>
                <a:ext uri="{FF2B5EF4-FFF2-40B4-BE49-F238E27FC236}">
                  <a16:creationId xmlns:a16="http://schemas.microsoft.com/office/drawing/2014/main" id="{00000000-0008-0000-0000-00009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38</xdr:row>
          <xdr:rowOff>28575</xdr:rowOff>
        </xdr:from>
        <xdr:to>
          <xdr:col>126</xdr:col>
          <xdr:colOff>400050</xdr:colOff>
          <xdr:row>38</xdr:row>
          <xdr:rowOff>257175</xdr:rowOff>
        </xdr:to>
        <xdr:sp macro="" textlink="">
          <xdr:nvSpPr>
            <xdr:cNvPr id="2198" name="Check Box 150" hidden="1">
              <a:extLst>
                <a:ext uri="{63B3BB69-23CF-44E3-9099-C40C66FF867C}">
                  <a14:compatExt spid="_x0000_s2198"/>
                </a:ext>
                <a:ext uri="{FF2B5EF4-FFF2-40B4-BE49-F238E27FC236}">
                  <a16:creationId xmlns:a16="http://schemas.microsoft.com/office/drawing/2014/main" id="{00000000-0008-0000-0000-00009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39</xdr:row>
          <xdr:rowOff>28575</xdr:rowOff>
        </xdr:from>
        <xdr:to>
          <xdr:col>126</xdr:col>
          <xdr:colOff>400050</xdr:colOff>
          <xdr:row>39</xdr:row>
          <xdr:rowOff>257175</xdr:rowOff>
        </xdr:to>
        <xdr:sp macro="" textlink="">
          <xdr:nvSpPr>
            <xdr:cNvPr id="2199" name="Check Box 151" hidden="1">
              <a:extLst>
                <a:ext uri="{63B3BB69-23CF-44E3-9099-C40C66FF867C}">
                  <a14:compatExt spid="_x0000_s2199"/>
                </a:ext>
                <a:ext uri="{FF2B5EF4-FFF2-40B4-BE49-F238E27FC236}">
                  <a16:creationId xmlns:a16="http://schemas.microsoft.com/office/drawing/2014/main" id="{00000000-0008-0000-0000-00009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40</xdr:row>
          <xdr:rowOff>28575</xdr:rowOff>
        </xdr:from>
        <xdr:to>
          <xdr:col>126</xdr:col>
          <xdr:colOff>400050</xdr:colOff>
          <xdr:row>40</xdr:row>
          <xdr:rowOff>257175</xdr:rowOff>
        </xdr:to>
        <xdr:sp macro="" textlink="">
          <xdr:nvSpPr>
            <xdr:cNvPr id="2200" name="Check Box 152" hidden="1">
              <a:extLst>
                <a:ext uri="{63B3BB69-23CF-44E3-9099-C40C66FF867C}">
                  <a14:compatExt spid="_x0000_s2200"/>
                </a:ext>
                <a:ext uri="{FF2B5EF4-FFF2-40B4-BE49-F238E27FC236}">
                  <a16:creationId xmlns:a16="http://schemas.microsoft.com/office/drawing/2014/main" id="{00000000-0008-0000-0000-00009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41</xdr:row>
          <xdr:rowOff>28575</xdr:rowOff>
        </xdr:from>
        <xdr:to>
          <xdr:col>126</xdr:col>
          <xdr:colOff>400050</xdr:colOff>
          <xdr:row>41</xdr:row>
          <xdr:rowOff>257175</xdr:rowOff>
        </xdr:to>
        <xdr:sp macro="" textlink="">
          <xdr:nvSpPr>
            <xdr:cNvPr id="2201" name="Check Box 153" hidden="1">
              <a:extLst>
                <a:ext uri="{63B3BB69-23CF-44E3-9099-C40C66FF867C}">
                  <a14:compatExt spid="_x0000_s2201"/>
                </a:ext>
                <a:ext uri="{FF2B5EF4-FFF2-40B4-BE49-F238E27FC236}">
                  <a16:creationId xmlns:a16="http://schemas.microsoft.com/office/drawing/2014/main" id="{00000000-0008-0000-0000-00009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42</xdr:row>
          <xdr:rowOff>28575</xdr:rowOff>
        </xdr:from>
        <xdr:to>
          <xdr:col>126</xdr:col>
          <xdr:colOff>400050</xdr:colOff>
          <xdr:row>42</xdr:row>
          <xdr:rowOff>257175</xdr:rowOff>
        </xdr:to>
        <xdr:sp macro="" textlink="">
          <xdr:nvSpPr>
            <xdr:cNvPr id="2202" name="Check Box 154" hidden="1">
              <a:extLst>
                <a:ext uri="{63B3BB69-23CF-44E3-9099-C40C66FF867C}">
                  <a14:compatExt spid="_x0000_s2202"/>
                </a:ext>
                <a:ext uri="{FF2B5EF4-FFF2-40B4-BE49-F238E27FC236}">
                  <a16:creationId xmlns:a16="http://schemas.microsoft.com/office/drawing/2014/main" id="{00000000-0008-0000-0000-00009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43</xdr:row>
          <xdr:rowOff>28575</xdr:rowOff>
        </xdr:from>
        <xdr:to>
          <xdr:col>126</xdr:col>
          <xdr:colOff>400050</xdr:colOff>
          <xdr:row>43</xdr:row>
          <xdr:rowOff>257175</xdr:rowOff>
        </xdr:to>
        <xdr:sp macro="" textlink="">
          <xdr:nvSpPr>
            <xdr:cNvPr id="2203" name="Check Box 155" hidden="1">
              <a:extLst>
                <a:ext uri="{63B3BB69-23CF-44E3-9099-C40C66FF867C}">
                  <a14:compatExt spid="_x0000_s2203"/>
                </a:ext>
                <a:ext uri="{FF2B5EF4-FFF2-40B4-BE49-F238E27FC236}">
                  <a16:creationId xmlns:a16="http://schemas.microsoft.com/office/drawing/2014/main" id="{00000000-0008-0000-0000-00009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44</xdr:row>
          <xdr:rowOff>28575</xdr:rowOff>
        </xdr:from>
        <xdr:to>
          <xdr:col>126</xdr:col>
          <xdr:colOff>400050</xdr:colOff>
          <xdr:row>44</xdr:row>
          <xdr:rowOff>257175</xdr:rowOff>
        </xdr:to>
        <xdr:sp macro="" textlink="">
          <xdr:nvSpPr>
            <xdr:cNvPr id="2204" name="Check Box 156" hidden="1">
              <a:extLst>
                <a:ext uri="{63B3BB69-23CF-44E3-9099-C40C66FF867C}">
                  <a14:compatExt spid="_x0000_s2204"/>
                </a:ext>
                <a:ext uri="{FF2B5EF4-FFF2-40B4-BE49-F238E27FC236}">
                  <a16:creationId xmlns:a16="http://schemas.microsoft.com/office/drawing/2014/main" id="{00000000-0008-0000-0000-00009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45</xdr:row>
          <xdr:rowOff>28575</xdr:rowOff>
        </xdr:from>
        <xdr:to>
          <xdr:col>126</xdr:col>
          <xdr:colOff>400050</xdr:colOff>
          <xdr:row>45</xdr:row>
          <xdr:rowOff>257175</xdr:rowOff>
        </xdr:to>
        <xdr:sp macro="" textlink="">
          <xdr:nvSpPr>
            <xdr:cNvPr id="2205" name="Check Box 157" hidden="1">
              <a:extLst>
                <a:ext uri="{63B3BB69-23CF-44E3-9099-C40C66FF867C}">
                  <a14:compatExt spid="_x0000_s2205"/>
                </a:ext>
                <a:ext uri="{FF2B5EF4-FFF2-40B4-BE49-F238E27FC236}">
                  <a16:creationId xmlns:a16="http://schemas.microsoft.com/office/drawing/2014/main" id="{00000000-0008-0000-0000-00009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46</xdr:row>
          <xdr:rowOff>28575</xdr:rowOff>
        </xdr:from>
        <xdr:to>
          <xdr:col>126</xdr:col>
          <xdr:colOff>400050</xdr:colOff>
          <xdr:row>46</xdr:row>
          <xdr:rowOff>257175</xdr:rowOff>
        </xdr:to>
        <xdr:sp macro="" textlink="">
          <xdr:nvSpPr>
            <xdr:cNvPr id="2206" name="Check Box 158" hidden="1">
              <a:extLst>
                <a:ext uri="{63B3BB69-23CF-44E3-9099-C40C66FF867C}">
                  <a14:compatExt spid="_x0000_s2206"/>
                </a:ext>
                <a:ext uri="{FF2B5EF4-FFF2-40B4-BE49-F238E27FC236}">
                  <a16:creationId xmlns:a16="http://schemas.microsoft.com/office/drawing/2014/main" id="{00000000-0008-0000-0000-00009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47</xdr:row>
          <xdr:rowOff>28575</xdr:rowOff>
        </xdr:from>
        <xdr:to>
          <xdr:col>126</xdr:col>
          <xdr:colOff>400050</xdr:colOff>
          <xdr:row>47</xdr:row>
          <xdr:rowOff>257175</xdr:rowOff>
        </xdr:to>
        <xdr:sp macro="" textlink="">
          <xdr:nvSpPr>
            <xdr:cNvPr id="2207" name="Check Box 159" hidden="1">
              <a:extLst>
                <a:ext uri="{63B3BB69-23CF-44E3-9099-C40C66FF867C}">
                  <a14:compatExt spid="_x0000_s2207"/>
                </a:ext>
                <a:ext uri="{FF2B5EF4-FFF2-40B4-BE49-F238E27FC236}">
                  <a16:creationId xmlns:a16="http://schemas.microsoft.com/office/drawing/2014/main" id="{00000000-0008-0000-0000-00009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48</xdr:row>
          <xdr:rowOff>28575</xdr:rowOff>
        </xdr:from>
        <xdr:to>
          <xdr:col>126</xdr:col>
          <xdr:colOff>400050</xdr:colOff>
          <xdr:row>48</xdr:row>
          <xdr:rowOff>257175</xdr:rowOff>
        </xdr:to>
        <xdr:sp macro="" textlink="">
          <xdr:nvSpPr>
            <xdr:cNvPr id="2208" name="Check Box 160" hidden="1">
              <a:extLst>
                <a:ext uri="{63B3BB69-23CF-44E3-9099-C40C66FF867C}">
                  <a14:compatExt spid="_x0000_s2208"/>
                </a:ext>
                <a:ext uri="{FF2B5EF4-FFF2-40B4-BE49-F238E27FC236}">
                  <a16:creationId xmlns:a16="http://schemas.microsoft.com/office/drawing/2014/main" id="{00000000-0008-0000-0000-0000A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49</xdr:row>
          <xdr:rowOff>28575</xdr:rowOff>
        </xdr:from>
        <xdr:to>
          <xdr:col>126</xdr:col>
          <xdr:colOff>400050</xdr:colOff>
          <xdr:row>49</xdr:row>
          <xdr:rowOff>257175</xdr:rowOff>
        </xdr:to>
        <xdr:sp macro="" textlink="">
          <xdr:nvSpPr>
            <xdr:cNvPr id="2209" name="Check Box 161" hidden="1">
              <a:extLst>
                <a:ext uri="{63B3BB69-23CF-44E3-9099-C40C66FF867C}">
                  <a14:compatExt spid="_x0000_s2209"/>
                </a:ext>
                <a:ext uri="{FF2B5EF4-FFF2-40B4-BE49-F238E27FC236}">
                  <a16:creationId xmlns:a16="http://schemas.microsoft.com/office/drawing/2014/main" id="{00000000-0008-0000-0000-0000A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50</xdr:row>
          <xdr:rowOff>28575</xdr:rowOff>
        </xdr:from>
        <xdr:to>
          <xdr:col>126</xdr:col>
          <xdr:colOff>400050</xdr:colOff>
          <xdr:row>50</xdr:row>
          <xdr:rowOff>257175</xdr:rowOff>
        </xdr:to>
        <xdr:sp macro="" textlink="">
          <xdr:nvSpPr>
            <xdr:cNvPr id="2210" name="Check Box 162" hidden="1">
              <a:extLst>
                <a:ext uri="{63B3BB69-23CF-44E3-9099-C40C66FF867C}">
                  <a14:compatExt spid="_x0000_s2210"/>
                </a:ext>
                <a:ext uri="{FF2B5EF4-FFF2-40B4-BE49-F238E27FC236}">
                  <a16:creationId xmlns:a16="http://schemas.microsoft.com/office/drawing/2014/main" id="{00000000-0008-0000-0000-0000A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51</xdr:row>
          <xdr:rowOff>28575</xdr:rowOff>
        </xdr:from>
        <xdr:to>
          <xdr:col>126</xdr:col>
          <xdr:colOff>400050</xdr:colOff>
          <xdr:row>51</xdr:row>
          <xdr:rowOff>257175</xdr:rowOff>
        </xdr:to>
        <xdr:sp macro="" textlink="">
          <xdr:nvSpPr>
            <xdr:cNvPr id="2211" name="Check Box 163" hidden="1">
              <a:extLst>
                <a:ext uri="{63B3BB69-23CF-44E3-9099-C40C66FF867C}">
                  <a14:compatExt spid="_x0000_s2211"/>
                </a:ext>
                <a:ext uri="{FF2B5EF4-FFF2-40B4-BE49-F238E27FC236}">
                  <a16:creationId xmlns:a16="http://schemas.microsoft.com/office/drawing/2014/main" id="{00000000-0008-0000-0000-0000A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52</xdr:row>
          <xdr:rowOff>28575</xdr:rowOff>
        </xdr:from>
        <xdr:to>
          <xdr:col>126</xdr:col>
          <xdr:colOff>400050</xdr:colOff>
          <xdr:row>52</xdr:row>
          <xdr:rowOff>257175</xdr:rowOff>
        </xdr:to>
        <xdr:sp macro="" textlink="">
          <xdr:nvSpPr>
            <xdr:cNvPr id="2212" name="Check Box 164" hidden="1">
              <a:extLst>
                <a:ext uri="{63B3BB69-23CF-44E3-9099-C40C66FF867C}">
                  <a14:compatExt spid="_x0000_s2212"/>
                </a:ext>
                <a:ext uri="{FF2B5EF4-FFF2-40B4-BE49-F238E27FC236}">
                  <a16:creationId xmlns:a16="http://schemas.microsoft.com/office/drawing/2014/main" id="{00000000-0008-0000-0000-0000A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53</xdr:row>
          <xdr:rowOff>28575</xdr:rowOff>
        </xdr:from>
        <xdr:to>
          <xdr:col>126</xdr:col>
          <xdr:colOff>400050</xdr:colOff>
          <xdr:row>53</xdr:row>
          <xdr:rowOff>257175</xdr:rowOff>
        </xdr:to>
        <xdr:sp macro="" textlink="">
          <xdr:nvSpPr>
            <xdr:cNvPr id="2213" name="Check Box 165" hidden="1">
              <a:extLst>
                <a:ext uri="{63B3BB69-23CF-44E3-9099-C40C66FF867C}">
                  <a14:compatExt spid="_x0000_s2213"/>
                </a:ext>
                <a:ext uri="{FF2B5EF4-FFF2-40B4-BE49-F238E27FC236}">
                  <a16:creationId xmlns:a16="http://schemas.microsoft.com/office/drawing/2014/main" id="{00000000-0008-0000-0000-0000A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54</xdr:row>
          <xdr:rowOff>28575</xdr:rowOff>
        </xdr:from>
        <xdr:to>
          <xdr:col>126</xdr:col>
          <xdr:colOff>400050</xdr:colOff>
          <xdr:row>54</xdr:row>
          <xdr:rowOff>257175</xdr:rowOff>
        </xdr:to>
        <xdr:sp macro="" textlink="">
          <xdr:nvSpPr>
            <xdr:cNvPr id="2214" name="Check Box 166" hidden="1">
              <a:extLst>
                <a:ext uri="{63B3BB69-23CF-44E3-9099-C40C66FF867C}">
                  <a14:compatExt spid="_x0000_s2214"/>
                </a:ext>
                <a:ext uri="{FF2B5EF4-FFF2-40B4-BE49-F238E27FC236}">
                  <a16:creationId xmlns:a16="http://schemas.microsoft.com/office/drawing/2014/main" id="{00000000-0008-0000-0000-0000A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55</xdr:row>
          <xdr:rowOff>28575</xdr:rowOff>
        </xdr:from>
        <xdr:to>
          <xdr:col>126</xdr:col>
          <xdr:colOff>400050</xdr:colOff>
          <xdr:row>55</xdr:row>
          <xdr:rowOff>257175</xdr:rowOff>
        </xdr:to>
        <xdr:sp macro="" textlink="">
          <xdr:nvSpPr>
            <xdr:cNvPr id="2215" name="Check Box 167" hidden="1">
              <a:extLst>
                <a:ext uri="{63B3BB69-23CF-44E3-9099-C40C66FF867C}">
                  <a14:compatExt spid="_x0000_s2215"/>
                </a:ext>
                <a:ext uri="{FF2B5EF4-FFF2-40B4-BE49-F238E27FC236}">
                  <a16:creationId xmlns:a16="http://schemas.microsoft.com/office/drawing/2014/main" id="{00000000-0008-0000-0000-0000A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56</xdr:row>
          <xdr:rowOff>28575</xdr:rowOff>
        </xdr:from>
        <xdr:to>
          <xdr:col>126</xdr:col>
          <xdr:colOff>400050</xdr:colOff>
          <xdr:row>56</xdr:row>
          <xdr:rowOff>257175</xdr:rowOff>
        </xdr:to>
        <xdr:sp macro="" textlink="">
          <xdr:nvSpPr>
            <xdr:cNvPr id="2216" name="Check Box 168" hidden="1">
              <a:extLst>
                <a:ext uri="{63B3BB69-23CF-44E3-9099-C40C66FF867C}">
                  <a14:compatExt spid="_x0000_s2216"/>
                </a:ext>
                <a:ext uri="{FF2B5EF4-FFF2-40B4-BE49-F238E27FC236}">
                  <a16:creationId xmlns:a16="http://schemas.microsoft.com/office/drawing/2014/main" id="{00000000-0008-0000-0000-0000A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57</xdr:row>
          <xdr:rowOff>28575</xdr:rowOff>
        </xdr:from>
        <xdr:to>
          <xdr:col>126</xdr:col>
          <xdr:colOff>400050</xdr:colOff>
          <xdr:row>57</xdr:row>
          <xdr:rowOff>257175</xdr:rowOff>
        </xdr:to>
        <xdr:sp macro="" textlink="">
          <xdr:nvSpPr>
            <xdr:cNvPr id="2217" name="Check Box 169" hidden="1">
              <a:extLst>
                <a:ext uri="{63B3BB69-23CF-44E3-9099-C40C66FF867C}">
                  <a14:compatExt spid="_x0000_s2217"/>
                </a:ext>
                <a:ext uri="{FF2B5EF4-FFF2-40B4-BE49-F238E27FC236}">
                  <a16:creationId xmlns:a16="http://schemas.microsoft.com/office/drawing/2014/main" id="{00000000-0008-0000-0000-0000A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58</xdr:row>
          <xdr:rowOff>28575</xdr:rowOff>
        </xdr:from>
        <xdr:to>
          <xdr:col>126</xdr:col>
          <xdr:colOff>400050</xdr:colOff>
          <xdr:row>58</xdr:row>
          <xdr:rowOff>257175</xdr:rowOff>
        </xdr:to>
        <xdr:sp macro="" textlink="">
          <xdr:nvSpPr>
            <xdr:cNvPr id="2218" name="Check Box 170" hidden="1">
              <a:extLst>
                <a:ext uri="{63B3BB69-23CF-44E3-9099-C40C66FF867C}">
                  <a14:compatExt spid="_x0000_s2218"/>
                </a:ext>
                <a:ext uri="{FF2B5EF4-FFF2-40B4-BE49-F238E27FC236}">
                  <a16:creationId xmlns:a16="http://schemas.microsoft.com/office/drawing/2014/main" id="{00000000-0008-0000-0000-0000A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59</xdr:row>
          <xdr:rowOff>28575</xdr:rowOff>
        </xdr:from>
        <xdr:to>
          <xdr:col>126</xdr:col>
          <xdr:colOff>400050</xdr:colOff>
          <xdr:row>59</xdr:row>
          <xdr:rowOff>257175</xdr:rowOff>
        </xdr:to>
        <xdr:sp macro="" textlink="">
          <xdr:nvSpPr>
            <xdr:cNvPr id="2219" name="Check Box 171" hidden="1">
              <a:extLst>
                <a:ext uri="{63B3BB69-23CF-44E3-9099-C40C66FF867C}">
                  <a14:compatExt spid="_x0000_s2219"/>
                </a:ext>
                <a:ext uri="{FF2B5EF4-FFF2-40B4-BE49-F238E27FC236}">
                  <a16:creationId xmlns:a16="http://schemas.microsoft.com/office/drawing/2014/main" id="{00000000-0008-0000-0000-0000A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60</xdr:row>
          <xdr:rowOff>28575</xdr:rowOff>
        </xdr:from>
        <xdr:to>
          <xdr:col>126</xdr:col>
          <xdr:colOff>400050</xdr:colOff>
          <xdr:row>60</xdr:row>
          <xdr:rowOff>257175</xdr:rowOff>
        </xdr:to>
        <xdr:sp macro="" textlink="">
          <xdr:nvSpPr>
            <xdr:cNvPr id="2220" name="Check Box 172" hidden="1">
              <a:extLst>
                <a:ext uri="{63B3BB69-23CF-44E3-9099-C40C66FF867C}">
                  <a14:compatExt spid="_x0000_s2220"/>
                </a:ext>
                <a:ext uri="{FF2B5EF4-FFF2-40B4-BE49-F238E27FC236}">
                  <a16:creationId xmlns:a16="http://schemas.microsoft.com/office/drawing/2014/main" id="{00000000-0008-0000-0000-0000A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61</xdr:row>
          <xdr:rowOff>28575</xdr:rowOff>
        </xdr:from>
        <xdr:to>
          <xdr:col>126</xdr:col>
          <xdr:colOff>400050</xdr:colOff>
          <xdr:row>61</xdr:row>
          <xdr:rowOff>257175</xdr:rowOff>
        </xdr:to>
        <xdr:sp macro="" textlink="">
          <xdr:nvSpPr>
            <xdr:cNvPr id="2221" name="Check Box 173" hidden="1">
              <a:extLst>
                <a:ext uri="{63B3BB69-23CF-44E3-9099-C40C66FF867C}">
                  <a14:compatExt spid="_x0000_s2221"/>
                </a:ext>
                <a:ext uri="{FF2B5EF4-FFF2-40B4-BE49-F238E27FC236}">
                  <a16:creationId xmlns:a16="http://schemas.microsoft.com/office/drawing/2014/main" id="{00000000-0008-0000-0000-0000A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62</xdr:row>
          <xdr:rowOff>28575</xdr:rowOff>
        </xdr:from>
        <xdr:to>
          <xdr:col>126</xdr:col>
          <xdr:colOff>400050</xdr:colOff>
          <xdr:row>62</xdr:row>
          <xdr:rowOff>257175</xdr:rowOff>
        </xdr:to>
        <xdr:sp macro="" textlink="">
          <xdr:nvSpPr>
            <xdr:cNvPr id="2222" name="Check Box 174" hidden="1">
              <a:extLst>
                <a:ext uri="{63B3BB69-23CF-44E3-9099-C40C66FF867C}">
                  <a14:compatExt spid="_x0000_s2222"/>
                </a:ext>
                <a:ext uri="{FF2B5EF4-FFF2-40B4-BE49-F238E27FC236}">
                  <a16:creationId xmlns:a16="http://schemas.microsoft.com/office/drawing/2014/main" id="{00000000-0008-0000-0000-0000A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63</xdr:row>
          <xdr:rowOff>28575</xdr:rowOff>
        </xdr:from>
        <xdr:to>
          <xdr:col>126</xdr:col>
          <xdr:colOff>400050</xdr:colOff>
          <xdr:row>63</xdr:row>
          <xdr:rowOff>257175</xdr:rowOff>
        </xdr:to>
        <xdr:sp macro="" textlink="">
          <xdr:nvSpPr>
            <xdr:cNvPr id="2223" name="Check Box 175" hidden="1">
              <a:extLst>
                <a:ext uri="{63B3BB69-23CF-44E3-9099-C40C66FF867C}">
                  <a14:compatExt spid="_x0000_s2223"/>
                </a:ext>
                <a:ext uri="{FF2B5EF4-FFF2-40B4-BE49-F238E27FC236}">
                  <a16:creationId xmlns:a16="http://schemas.microsoft.com/office/drawing/2014/main" id="{00000000-0008-0000-0000-0000A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64</xdr:row>
          <xdr:rowOff>28575</xdr:rowOff>
        </xdr:from>
        <xdr:to>
          <xdr:col>126</xdr:col>
          <xdr:colOff>400050</xdr:colOff>
          <xdr:row>64</xdr:row>
          <xdr:rowOff>257175</xdr:rowOff>
        </xdr:to>
        <xdr:sp macro="" textlink="">
          <xdr:nvSpPr>
            <xdr:cNvPr id="2224" name="Check Box 176" hidden="1">
              <a:extLst>
                <a:ext uri="{63B3BB69-23CF-44E3-9099-C40C66FF867C}">
                  <a14:compatExt spid="_x0000_s2224"/>
                </a:ext>
                <a:ext uri="{FF2B5EF4-FFF2-40B4-BE49-F238E27FC236}">
                  <a16:creationId xmlns:a16="http://schemas.microsoft.com/office/drawing/2014/main" id="{00000000-0008-0000-0000-0000B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65</xdr:row>
          <xdr:rowOff>28575</xdr:rowOff>
        </xdr:from>
        <xdr:to>
          <xdr:col>126</xdr:col>
          <xdr:colOff>400050</xdr:colOff>
          <xdr:row>65</xdr:row>
          <xdr:rowOff>257175</xdr:rowOff>
        </xdr:to>
        <xdr:sp macro="" textlink="">
          <xdr:nvSpPr>
            <xdr:cNvPr id="2225" name="Check Box 177" hidden="1">
              <a:extLst>
                <a:ext uri="{63B3BB69-23CF-44E3-9099-C40C66FF867C}">
                  <a14:compatExt spid="_x0000_s2225"/>
                </a:ext>
                <a:ext uri="{FF2B5EF4-FFF2-40B4-BE49-F238E27FC236}">
                  <a16:creationId xmlns:a16="http://schemas.microsoft.com/office/drawing/2014/main" id="{00000000-0008-0000-0000-0000B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66</xdr:row>
          <xdr:rowOff>28575</xdr:rowOff>
        </xdr:from>
        <xdr:to>
          <xdr:col>126</xdr:col>
          <xdr:colOff>400050</xdr:colOff>
          <xdr:row>66</xdr:row>
          <xdr:rowOff>257175</xdr:rowOff>
        </xdr:to>
        <xdr:sp macro="" textlink="">
          <xdr:nvSpPr>
            <xdr:cNvPr id="2226" name="Check Box 178" hidden="1">
              <a:extLst>
                <a:ext uri="{63B3BB69-23CF-44E3-9099-C40C66FF867C}">
                  <a14:compatExt spid="_x0000_s2226"/>
                </a:ext>
                <a:ext uri="{FF2B5EF4-FFF2-40B4-BE49-F238E27FC236}">
                  <a16:creationId xmlns:a16="http://schemas.microsoft.com/office/drawing/2014/main" id="{00000000-0008-0000-0000-0000B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67</xdr:row>
          <xdr:rowOff>28575</xdr:rowOff>
        </xdr:from>
        <xdr:to>
          <xdr:col>126</xdr:col>
          <xdr:colOff>400050</xdr:colOff>
          <xdr:row>67</xdr:row>
          <xdr:rowOff>257175</xdr:rowOff>
        </xdr:to>
        <xdr:sp macro="" textlink="">
          <xdr:nvSpPr>
            <xdr:cNvPr id="2227" name="Check Box 179" hidden="1">
              <a:extLst>
                <a:ext uri="{63B3BB69-23CF-44E3-9099-C40C66FF867C}">
                  <a14:compatExt spid="_x0000_s2227"/>
                </a:ext>
                <a:ext uri="{FF2B5EF4-FFF2-40B4-BE49-F238E27FC236}">
                  <a16:creationId xmlns:a16="http://schemas.microsoft.com/office/drawing/2014/main" id="{00000000-0008-0000-0000-0000B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68</xdr:row>
          <xdr:rowOff>28575</xdr:rowOff>
        </xdr:from>
        <xdr:to>
          <xdr:col>126</xdr:col>
          <xdr:colOff>400050</xdr:colOff>
          <xdr:row>68</xdr:row>
          <xdr:rowOff>257175</xdr:rowOff>
        </xdr:to>
        <xdr:sp macro="" textlink="">
          <xdr:nvSpPr>
            <xdr:cNvPr id="2228" name="Check Box 180" hidden="1">
              <a:extLst>
                <a:ext uri="{63B3BB69-23CF-44E3-9099-C40C66FF867C}">
                  <a14:compatExt spid="_x0000_s2228"/>
                </a:ext>
                <a:ext uri="{FF2B5EF4-FFF2-40B4-BE49-F238E27FC236}">
                  <a16:creationId xmlns:a16="http://schemas.microsoft.com/office/drawing/2014/main" id="{00000000-0008-0000-0000-0000B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63" Type="http://schemas.openxmlformats.org/officeDocument/2006/relationships/ctrlProp" Target="../ctrlProps/ctrlProp60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DY70"/>
  <sheetViews>
    <sheetView showGridLines="0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D10" sqref="D10"/>
    </sheetView>
  </sheetViews>
  <sheetFormatPr baseColWidth="10" defaultRowHeight="8.25" customHeight="1" x14ac:dyDescent="0.25"/>
  <cols>
    <col min="1" max="1" width="5.42578125" style="2" customWidth="1"/>
    <col min="2" max="2" width="55.28515625" customWidth="1"/>
    <col min="3" max="3" width="15.85546875" customWidth="1"/>
    <col min="4" max="4" width="7.85546875" style="2" customWidth="1"/>
    <col min="5" max="64" width="7" customWidth="1"/>
    <col min="65" max="124" width="5.42578125" hidden="1" customWidth="1"/>
    <col min="125" max="126" width="14.7109375" customWidth="1"/>
    <col min="127" max="127" width="6.7109375" customWidth="1"/>
  </cols>
  <sheetData>
    <row r="1" spans="1:129" ht="13.5" hidden="1" customHeight="1" x14ac:dyDescent="0.25">
      <c r="B1" s="3" t="s">
        <v>9</v>
      </c>
      <c r="C1" s="3"/>
      <c r="D1" s="4"/>
      <c r="DU1" s="3" t="s">
        <v>8</v>
      </c>
      <c r="DV1" s="3" t="s">
        <v>7</v>
      </c>
      <c r="DX1" s="39"/>
      <c r="DY1" s="39"/>
    </row>
    <row r="2" spans="1:129" ht="41.25" customHeight="1" x14ac:dyDescent="0.5">
      <c r="C2" s="36"/>
      <c r="D2" s="36"/>
      <c r="E2" s="36" t="str">
        <f ca="1">UPPER(DV1 &amp;" DE " &amp; DU1 &amp; " - " &amp; IF(MONTH(TODAY())&lt;8,"Primer Semestre ", "Segundo Semestre ") &amp; YEAR(TODAY()))</f>
        <v>PRUEBA 1 DE CALCULO I - PRIMER SEMESTRE 2024</v>
      </c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  <c r="AD2" s="36"/>
      <c r="AE2" s="36"/>
      <c r="AF2" s="36"/>
      <c r="AG2" s="36"/>
      <c r="AH2" s="36"/>
      <c r="AI2" s="36"/>
      <c r="AJ2" s="36"/>
      <c r="AK2" s="36"/>
      <c r="AL2" s="36"/>
      <c r="AM2" s="36"/>
      <c r="AN2" s="36"/>
      <c r="AO2" s="36"/>
      <c r="AP2" s="36"/>
      <c r="AQ2" s="36"/>
      <c r="AR2" s="36"/>
      <c r="AS2" s="36"/>
      <c r="AT2" s="36"/>
      <c r="AU2" s="36"/>
      <c r="AV2" s="36"/>
      <c r="AW2" s="36"/>
      <c r="AX2" s="36"/>
      <c r="AY2" s="36"/>
      <c r="AZ2" s="36"/>
      <c r="BA2" s="36"/>
      <c r="BB2" s="36"/>
      <c r="BC2" s="36"/>
      <c r="BD2" s="36"/>
      <c r="BE2" s="36"/>
      <c r="BF2" s="36"/>
      <c r="BG2" s="36"/>
      <c r="BH2" s="36"/>
      <c r="BI2" s="36"/>
      <c r="BJ2" s="36"/>
      <c r="BK2" s="36"/>
      <c r="BL2" s="36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6"/>
      <c r="DV2" s="6"/>
    </row>
    <row r="3" spans="1:129" ht="63.75" hidden="1" customHeight="1" x14ac:dyDescent="0.25"/>
    <row r="4" spans="1:129" ht="5.25" customHeight="1" x14ac:dyDescent="0.25">
      <c r="B4" s="7"/>
      <c r="D4"/>
    </row>
    <row r="5" spans="1:129" ht="5.25" customHeight="1" thickBot="1" x14ac:dyDescent="0.3">
      <c r="B5" s="7"/>
      <c r="D5"/>
      <c r="DU5" s="8"/>
      <c r="DV5" s="8"/>
    </row>
    <row r="6" spans="1:129" ht="13.5" hidden="1" customHeight="1" thickBot="1" x14ac:dyDescent="0.3">
      <c r="E6">
        <v>1</v>
      </c>
      <c r="F6">
        <v>2</v>
      </c>
      <c r="G6">
        <v>3</v>
      </c>
      <c r="H6">
        <v>4</v>
      </c>
      <c r="I6">
        <v>5</v>
      </c>
      <c r="J6">
        <v>6</v>
      </c>
      <c r="K6">
        <v>7</v>
      </c>
      <c r="L6">
        <v>8</v>
      </c>
      <c r="M6">
        <v>9</v>
      </c>
      <c r="N6">
        <v>10</v>
      </c>
      <c r="O6">
        <v>11</v>
      </c>
      <c r="P6">
        <v>12</v>
      </c>
      <c r="Q6">
        <v>13</v>
      </c>
      <c r="R6">
        <v>14</v>
      </c>
      <c r="S6">
        <v>15</v>
      </c>
      <c r="T6">
        <v>16</v>
      </c>
      <c r="U6">
        <v>17</v>
      </c>
      <c r="V6">
        <v>18</v>
      </c>
      <c r="W6">
        <v>19</v>
      </c>
      <c r="X6">
        <v>20</v>
      </c>
      <c r="Y6">
        <v>21</v>
      </c>
      <c r="Z6">
        <v>22</v>
      </c>
      <c r="AA6">
        <v>23</v>
      </c>
      <c r="AB6">
        <v>24</v>
      </c>
      <c r="AC6">
        <v>25</v>
      </c>
      <c r="AD6">
        <v>26</v>
      </c>
      <c r="AE6">
        <v>27</v>
      </c>
      <c r="AF6">
        <v>28</v>
      </c>
      <c r="AG6">
        <v>29</v>
      </c>
      <c r="AH6">
        <v>30</v>
      </c>
      <c r="AI6">
        <v>31</v>
      </c>
      <c r="AJ6">
        <v>32</v>
      </c>
      <c r="AK6">
        <v>33</v>
      </c>
      <c r="AL6">
        <v>34</v>
      </c>
      <c r="AM6">
        <v>35</v>
      </c>
      <c r="AN6">
        <v>36</v>
      </c>
      <c r="AO6">
        <v>37</v>
      </c>
      <c r="AP6">
        <v>38</v>
      </c>
      <c r="AQ6">
        <v>39</v>
      </c>
      <c r="AR6">
        <v>40</v>
      </c>
      <c r="AS6">
        <v>41</v>
      </c>
      <c r="AT6">
        <v>42</v>
      </c>
      <c r="AU6">
        <v>43</v>
      </c>
      <c r="AV6">
        <v>44</v>
      </c>
      <c r="AW6">
        <v>45</v>
      </c>
      <c r="AX6">
        <v>46</v>
      </c>
      <c r="AY6">
        <v>47</v>
      </c>
      <c r="AZ6">
        <v>48</v>
      </c>
      <c r="BA6">
        <v>49</v>
      </c>
      <c r="BB6">
        <v>50</v>
      </c>
      <c r="BC6">
        <v>51</v>
      </c>
      <c r="BD6">
        <v>52</v>
      </c>
      <c r="BE6">
        <v>53</v>
      </c>
      <c r="BF6">
        <v>54</v>
      </c>
      <c r="BG6">
        <v>55</v>
      </c>
      <c r="BH6">
        <v>56</v>
      </c>
      <c r="BI6">
        <v>57</v>
      </c>
      <c r="BJ6">
        <v>58</v>
      </c>
      <c r="BK6">
        <v>59</v>
      </c>
      <c r="BL6">
        <v>60</v>
      </c>
      <c r="BM6">
        <v>1</v>
      </c>
      <c r="BN6">
        <v>2</v>
      </c>
      <c r="BO6">
        <v>3</v>
      </c>
      <c r="BP6">
        <v>4</v>
      </c>
      <c r="BQ6">
        <v>5</v>
      </c>
      <c r="BR6">
        <v>6</v>
      </c>
      <c r="BS6">
        <v>7</v>
      </c>
      <c r="BT6">
        <v>8</v>
      </c>
      <c r="BU6">
        <v>9</v>
      </c>
      <c r="BV6">
        <v>10</v>
      </c>
      <c r="BW6">
        <v>11</v>
      </c>
      <c r="BX6">
        <v>12</v>
      </c>
      <c r="BY6">
        <v>13</v>
      </c>
      <c r="BZ6">
        <v>14</v>
      </c>
      <c r="CA6">
        <v>15</v>
      </c>
      <c r="CB6">
        <v>16</v>
      </c>
      <c r="CC6">
        <v>17</v>
      </c>
      <c r="CD6">
        <v>18</v>
      </c>
      <c r="CE6">
        <v>19</v>
      </c>
      <c r="CF6">
        <v>20</v>
      </c>
      <c r="CG6">
        <v>21</v>
      </c>
      <c r="CH6">
        <v>22</v>
      </c>
      <c r="CI6">
        <v>23</v>
      </c>
      <c r="CJ6">
        <v>24</v>
      </c>
      <c r="CK6">
        <v>25</v>
      </c>
      <c r="CL6">
        <v>26</v>
      </c>
      <c r="CM6">
        <v>27</v>
      </c>
      <c r="CN6">
        <v>28</v>
      </c>
      <c r="CO6">
        <v>29</v>
      </c>
      <c r="CP6">
        <v>30</v>
      </c>
      <c r="CQ6">
        <v>31</v>
      </c>
      <c r="CR6">
        <v>32</v>
      </c>
      <c r="CS6">
        <v>33</v>
      </c>
      <c r="CT6">
        <v>34</v>
      </c>
      <c r="CU6">
        <v>35</v>
      </c>
      <c r="CV6">
        <v>36</v>
      </c>
      <c r="CW6">
        <v>37</v>
      </c>
      <c r="CX6">
        <v>38</v>
      </c>
      <c r="CY6">
        <v>39</v>
      </c>
      <c r="CZ6">
        <v>40</v>
      </c>
      <c r="DA6">
        <v>41</v>
      </c>
      <c r="DB6">
        <v>42</v>
      </c>
      <c r="DC6">
        <v>43</v>
      </c>
      <c r="DD6">
        <v>44</v>
      </c>
      <c r="DE6">
        <v>45</v>
      </c>
      <c r="DF6">
        <v>46</v>
      </c>
      <c r="DG6">
        <v>47</v>
      </c>
      <c r="DH6">
        <v>48</v>
      </c>
      <c r="DI6">
        <v>49</v>
      </c>
      <c r="DJ6">
        <v>50</v>
      </c>
      <c r="DK6">
        <v>51</v>
      </c>
      <c r="DL6">
        <v>52</v>
      </c>
      <c r="DM6">
        <v>53</v>
      </c>
      <c r="DN6">
        <v>54</v>
      </c>
      <c r="DO6">
        <v>55</v>
      </c>
      <c r="DP6">
        <v>56</v>
      </c>
      <c r="DQ6">
        <v>57</v>
      </c>
      <c r="DR6">
        <v>58</v>
      </c>
      <c r="DS6">
        <v>59</v>
      </c>
      <c r="DT6">
        <v>60</v>
      </c>
      <c r="DU6" s="8"/>
      <c r="DV6" s="8"/>
    </row>
    <row r="7" spans="1:129" ht="27.75" hidden="1" customHeight="1" x14ac:dyDescent="0.25">
      <c r="C7" s="52" t="s">
        <v>5</v>
      </c>
      <c r="D7" s="53"/>
      <c r="E7" s="23" t="e">
        <f>IF(VLOOKUP(E6,Hoja1!$F$2:$J$61,4,FALSE)&lt;&gt;0,VLOOKUP(E6,Hoja1!$F$2:$J$61,4,FALSE),"")</f>
        <v>#N/A</v>
      </c>
      <c r="F7" s="23" t="e">
        <f>IF(VLOOKUP(F6,Hoja1!$F$2:$J$61,4,FALSE)&lt;&gt;0,VLOOKUP(F6,Hoja1!$F$2:$J$61,4,FALSE),"")</f>
        <v>#N/A</v>
      </c>
      <c r="G7" s="23" t="e">
        <f>IF(VLOOKUP(G6,Hoja1!$F$2:$J$61,4,FALSE)&lt;&gt;0,VLOOKUP(G6,Hoja1!$F$2:$J$61,4,FALSE),"")</f>
        <v>#N/A</v>
      </c>
      <c r="H7" s="23" t="e">
        <f>IF(VLOOKUP(H6,Hoja1!$F$2:$J$61,4,FALSE)&lt;&gt;0,VLOOKUP(H6,Hoja1!$F$2:$J$61,4,FALSE),"")</f>
        <v>#N/A</v>
      </c>
      <c r="I7" s="23" t="e">
        <f>IF(VLOOKUP(I6,Hoja1!$F$2:$J$61,4,FALSE)&lt;&gt;0,VLOOKUP(I6,Hoja1!$F$2:$J$61,4,FALSE),"")</f>
        <v>#N/A</v>
      </c>
      <c r="J7" s="23" t="e">
        <f>IF(VLOOKUP(J6,Hoja1!$F$2:$J$61,4,FALSE)&lt;&gt;0,VLOOKUP(J6,Hoja1!$F$2:$J$61,4,FALSE),"")</f>
        <v>#N/A</v>
      </c>
      <c r="K7" s="23" t="e">
        <f>IF(VLOOKUP(K6,Hoja1!$F$2:$J$61,4,FALSE)&lt;&gt;0,VLOOKUP(K6,Hoja1!$F$2:$J$61,4,FALSE),"")</f>
        <v>#N/A</v>
      </c>
      <c r="L7" s="23" t="e">
        <f>IF(VLOOKUP(L6,Hoja1!$F$2:$J$61,4,FALSE)&lt;&gt;0,VLOOKUP(L6,Hoja1!$F$2:$J$61,4,FALSE),"")</f>
        <v>#N/A</v>
      </c>
      <c r="M7" s="23" t="e">
        <f>IF(VLOOKUP(M6,Hoja1!$F$2:$J$61,4,FALSE)&lt;&gt;0,VLOOKUP(M6,Hoja1!$F$2:$J$61,4,FALSE),"")</f>
        <v>#N/A</v>
      </c>
      <c r="N7" s="23" t="e">
        <f>IF(VLOOKUP(N6,Hoja1!$F$2:$J$61,4,FALSE)&lt;&gt;0,VLOOKUP(N6,Hoja1!$F$2:$J$61,4,FALSE),"")</f>
        <v>#N/A</v>
      </c>
      <c r="O7" s="23" t="e">
        <f>IF(VLOOKUP(O6,Hoja1!$F$2:$J$61,4,FALSE)&lt;&gt;0,VLOOKUP(O6,Hoja1!$F$2:$J$61,4,FALSE),"")</f>
        <v>#N/A</v>
      </c>
      <c r="P7" s="23" t="e">
        <f>IF(VLOOKUP(P6,Hoja1!$F$2:$J$61,4,FALSE)&lt;&gt;0,VLOOKUP(P6,Hoja1!$F$2:$J$61,4,FALSE),"")</f>
        <v>#N/A</v>
      </c>
      <c r="Q7" s="23" t="e">
        <f>IF(VLOOKUP(Q6,Hoja1!$F$2:$J$61,4,FALSE)&lt;&gt;0,VLOOKUP(Q6,Hoja1!$F$2:$J$61,4,FALSE),"")</f>
        <v>#N/A</v>
      </c>
      <c r="R7" s="23" t="e">
        <f>IF(VLOOKUP(R6,Hoja1!$F$2:$J$61,4,FALSE)&lt;&gt;0,VLOOKUP(R6,Hoja1!$F$2:$J$61,4,FALSE),"")</f>
        <v>#N/A</v>
      </c>
      <c r="S7" s="23" t="e">
        <f>IF(VLOOKUP(S6,Hoja1!$F$2:$J$61,4,FALSE)&lt;&gt;0,VLOOKUP(S6,Hoja1!$F$2:$J$61,4,FALSE),"")</f>
        <v>#N/A</v>
      </c>
      <c r="T7" s="23" t="e">
        <f>IF(VLOOKUP(T6,Hoja1!$F$2:$J$61,4,FALSE)&lt;&gt;0,VLOOKUP(T6,Hoja1!$F$2:$J$61,4,FALSE),"")</f>
        <v>#N/A</v>
      </c>
      <c r="U7" s="23" t="e">
        <f>IF(VLOOKUP(U6,Hoja1!$F$2:$J$61,4,FALSE)&lt;&gt;0,VLOOKUP(U6,Hoja1!$F$2:$J$61,4,FALSE),"")</f>
        <v>#N/A</v>
      </c>
      <c r="V7" s="23" t="str">
        <f>IF(VLOOKUP(V6,Hoja1!$F$2:$J$61,4,FALSE)&lt;&gt;0,VLOOKUP(V6,Hoja1!$F$2:$J$61,4,FALSE),"")</f>
        <v/>
      </c>
      <c r="W7" s="23" t="str">
        <f>IF(VLOOKUP(W6,Hoja1!$F$2:$J$61,4,FALSE)&lt;&gt;0,VLOOKUP(W6,Hoja1!$F$2:$J$61,4,FALSE),"")</f>
        <v/>
      </c>
      <c r="X7" s="23" t="str">
        <f>IF(VLOOKUP(X6,Hoja1!$F$2:$J$61,4,FALSE)&lt;&gt;0,VLOOKUP(X6,Hoja1!$F$2:$J$61,4,FALSE),"")</f>
        <v/>
      </c>
      <c r="Y7" s="23" t="str">
        <f>IF(VLOOKUP(Y6,Hoja1!$F$2:$J$61,4,FALSE)&lt;&gt;0,VLOOKUP(Y6,Hoja1!$F$2:$J$61,4,FALSE),"")</f>
        <v/>
      </c>
      <c r="Z7" s="23" t="str">
        <f>IF(VLOOKUP(Z6,Hoja1!$F$2:$J$61,4,FALSE)&lt;&gt;0,VLOOKUP(Z6,Hoja1!$F$2:$J$61,4,FALSE),"")</f>
        <v/>
      </c>
      <c r="AA7" s="23" t="str">
        <f>IF(VLOOKUP(AA6,Hoja1!$F$2:$J$61,4,FALSE)&lt;&gt;0,VLOOKUP(AA6,Hoja1!$F$2:$J$61,4,FALSE),"")</f>
        <v/>
      </c>
      <c r="AB7" s="23" t="str">
        <f>IF(VLOOKUP(AB6,Hoja1!$F$2:$J$61,4,FALSE)&lt;&gt;0,VLOOKUP(AB6,Hoja1!$F$2:$J$61,4,FALSE),"")</f>
        <v/>
      </c>
      <c r="AC7" s="23" t="str">
        <f>IF(VLOOKUP(AC6,Hoja1!$F$2:$J$61,4,FALSE)&lt;&gt;0,VLOOKUP(AC6,Hoja1!$F$2:$J$61,4,FALSE),"")</f>
        <v/>
      </c>
      <c r="AD7" s="23" t="str">
        <f>IF(VLOOKUP(AD6,Hoja1!$F$2:$J$61,4,FALSE)&lt;&gt;0,VLOOKUP(AD6,Hoja1!$F$2:$J$61,4,FALSE),"")</f>
        <v/>
      </c>
      <c r="AE7" s="23" t="str">
        <f>IF(VLOOKUP(AE6,Hoja1!$F$2:$J$61,4,FALSE)&lt;&gt;0,VLOOKUP(AE6,Hoja1!$F$2:$J$61,4,FALSE),"")</f>
        <v/>
      </c>
      <c r="AF7" s="23" t="str">
        <f>IF(VLOOKUP(AF6,Hoja1!$F$2:$J$61,4,FALSE)&lt;&gt;0,VLOOKUP(AF6,Hoja1!$F$2:$J$61,4,FALSE),"")</f>
        <v/>
      </c>
      <c r="AG7" s="23" t="str">
        <f>IF(VLOOKUP(AG6,Hoja1!$F$2:$J$61,4,FALSE)&lt;&gt;0,VLOOKUP(AG6,Hoja1!$F$2:$J$61,4,FALSE),"")</f>
        <v/>
      </c>
      <c r="AH7" s="23" t="str">
        <f>IF(VLOOKUP(AH6,Hoja1!$F$2:$J$61,4,FALSE)&lt;&gt;0,VLOOKUP(AH6,Hoja1!$F$2:$J$61,4,FALSE),"")</f>
        <v/>
      </c>
      <c r="AI7" s="23" t="str">
        <f>IF(VLOOKUP(AI6,Hoja1!$F$2:$J$61,4,FALSE)&lt;&gt;0,VLOOKUP(AI6,Hoja1!$F$2:$J$61,4,FALSE),"")</f>
        <v/>
      </c>
      <c r="AJ7" s="23" t="str">
        <f>IF(VLOOKUP(AJ6,Hoja1!$F$2:$J$61,4,FALSE)&lt;&gt;0,VLOOKUP(AJ6,Hoja1!$F$2:$J$61,4,FALSE),"")</f>
        <v/>
      </c>
      <c r="AK7" s="23" t="str">
        <f>IF(VLOOKUP(AK6,Hoja1!$F$2:$J$61,4,FALSE)&lt;&gt;0,VLOOKUP(AK6,Hoja1!$F$2:$J$61,4,FALSE),"")</f>
        <v/>
      </c>
      <c r="AL7" s="23" t="str">
        <f>IF(VLOOKUP(AL6,Hoja1!$F$2:$J$61,4,FALSE)&lt;&gt;0,VLOOKUP(AL6,Hoja1!$F$2:$J$61,4,FALSE),"")</f>
        <v/>
      </c>
      <c r="AM7" s="23" t="str">
        <f>IF(VLOOKUP(AM6,Hoja1!$F$2:$J$61,4,FALSE)&lt;&gt;0,VLOOKUP(AM6,Hoja1!$F$2:$J$61,4,FALSE),"")</f>
        <v/>
      </c>
      <c r="AN7" s="23" t="str">
        <f>IF(VLOOKUP(AN6,Hoja1!$F$2:$J$61,4,FALSE)&lt;&gt;0,VLOOKUP(AN6,Hoja1!$F$2:$J$61,4,FALSE),"")</f>
        <v/>
      </c>
      <c r="AO7" s="23" t="str">
        <f>IF(VLOOKUP(AO6,Hoja1!$F$2:$J$61,4,FALSE)&lt;&gt;0,VLOOKUP(AO6,Hoja1!$F$2:$J$61,4,FALSE),"")</f>
        <v/>
      </c>
      <c r="AP7" s="23" t="str">
        <f>IF(VLOOKUP(AP6,Hoja1!$F$2:$J$61,4,FALSE)&lt;&gt;0,VLOOKUP(AP6,Hoja1!$F$2:$J$61,4,FALSE),"")</f>
        <v/>
      </c>
      <c r="AQ7" s="23" t="str">
        <f>IF(VLOOKUP(AQ6,Hoja1!$F$2:$J$61,4,FALSE)&lt;&gt;0,VLOOKUP(AQ6,Hoja1!$F$2:$J$61,4,FALSE),"")</f>
        <v/>
      </c>
      <c r="AR7" s="23" t="str">
        <f>IF(VLOOKUP(AR6,Hoja1!$F$2:$J$61,4,FALSE)&lt;&gt;0,VLOOKUP(AR6,Hoja1!$F$2:$J$61,4,FALSE),"")</f>
        <v/>
      </c>
      <c r="AS7" s="23" t="str">
        <f>IF(VLOOKUP(AS6,Hoja1!$F$2:$J$61,4,FALSE)&lt;&gt;0,VLOOKUP(AS6,Hoja1!$F$2:$J$61,4,FALSE),"")</f>
        <v/>
      </c>
      <c r="AT7" s="23" t="str">
        <f>IF(VLOOKUP(AT6,Hoja1!$F$2:$J$61,4,FALSE)&lt;&gt;0,VLOOKUP(AT6,Hoja1!$F$2:$J$61,4,FALSE),"")</f>
        <v/>
      </c>
      <c r="AU7" s="23" t="str">
        <f>IF(VLOOKUP(AU6,Hoja1!$F$2:$J$61,4,FALSE)&lt;&gt;0,VLOOKUP(AU6,Hoja1!$F$2:$J$61,4,FALSE),"")</f>
        <v/>
      </c>
      <c r="AV7" s="23" t="str">
        <f>IF(VLOOKUP(AV6,Hoja1!$F$2:$J$61,4,FALSE)&lt;&gt;0,VLOOKUP(AV6,Hoja1!$F$2:$J$61,4,FALSE),"")</f>
        <v/>
      </c>
      <c r="AW7" s="23" t="str">
        <f>IF(VLOOKUP(AW6,Hoja1!$F$2:$J$61,4,FALSE)&lt;&gt;0,VLOOKUP(AW6,Hoja1!$F$2:$J$61,4,FALSE),"")</f>
        <v/>
      </c>
      <c r="AX7" s="23" t="str">
        <f>IF(VLOOKUP(AX6,Hoja1!$F$2:$J$61,4,FALSE)&lt;&gt;0,VLOOKUP(AX6,Hoja1!$F$2:$J$61,4,FALSE),"")</f>
        <v/>
      </c>
      <c r="AY7" s="23" t="str">
        <f>IF(VLOOKUP(AY6,Hoja1!$F$2:$J$61,4,FALSE)&lt;&gt;0,VLOOKUP(AY6,Hoja1!$F$2:$J$61,4,FALSE),"")</f>
        <v/>
      </c>
      <c r="AZ7" s="23" t="str">
        <f>IF(VLOOKUP(AZ6,Hoja1!$F$2:$J$61,4,FALSE)&lt;&gt;0,VLOOKUP(AZ6,Hoja1!$F$2:$J$61,4,FALSE),"")</f>
        <v/>
      </c>
      <c r="BA7" s="23" t="str">
        <f>IF(VLOOKUP(BA6,Hoja1!$F$2:$J$61,4,FALSE)&lt;&gt;0,VLOOKUP(BA6,Hoja1!$F$2:$J$61,4,FALSE),"")</f>
        <v/>
      </c>
      <c r="BB7" s="23" t="str">
        <f>IF(VLOOKUP(BB6,Hoja1!$F$2:$J$61,4,FALSE)&lt;&gt;0,VLOOKUP(BB6,Hoja1!$F$2:$J$61,4,FALSE),"")</f>
        <v/>
      </c>
      <c r="BC7" s="23" t="str">
        <f>IF(VLOOKUP(BC6,Hoja1!$F$2:$J$61,4,FALSE)&lt;&gt;0,VLOOKUP(BC6,Hoja1!$F$2:$J$61,4,FALSE),"")</f>
        <v/>
      </c>
      <c r="BD7" s="23" t="str">
        <f>IF(VLOOKUP(BD6,Hoja1!$F$2:$J$61,4,FALSE)&lt;&gt;0,VLOOKUP(BD6,Hoja1!$F$2:$J$61,4,FALSE),"")</f>
        <v/>
      </c>
      <c r="BE7" s="23" t="str">
        <f>IF(VLOOKUP(BE6,Hoja1!$F$2:$J$61,4,FALSE)&lt;&gt;0,VLOOKUP(BE6,Hoja1!$F$2:$J$61,4,FALSE),"")</f>
        <v/>
      </c>
      <c r="BF7" s="23" t="str">
        <f>IF(VLOOKUP(BF6,Hoja1!$F$2:$J$61,4,FALSE)&lt;&gt;0,VLOOKUP(BF6,Hoja1!$F$2:$J$61,4,FALSE),"")</f>
        <v/>
      </c>
      <c r="BG7" s="23" t="str">
        <f>IF(VLOOKUP(BG6,Hoja1!$F$2:$J$61,4,FALSE)&lt;&gt;0,VLOOKUP(BG6,Hoja1!$F$2:$J$61,4,FALSE),"")</f>
        <v/>
      </c>
      <c r="BH7" s="23" t="str">
        <f>IF(VLOOKUP(BH6,Hoja1!$F$2:$J$61,4,FALSE)&lt;&gt;0,VLOOKUP(BH6,Hoja1!$F$2:$J$61,4,FALSE),"")</f>
        <v/>
      </c>
      <c r="BI7" s="23" t="str">
        <f>IF(VLOOKUP(BI6,Hoja1!$F$2:$J$61,4,FALSE)&lt;&gt;0,VLOOKUP(BI6,Hoja1!$F$2:$J$61,4,FALSE),"")</f>
        <v/>
      </c>
      <c r="BJ7" s="23" t="str">
        <f>IF(VLOOKUP(BJ6,Hoja1!$F$2:$J$61,4,FALSE)&lt;&gt;0,VLOOKUP(BJ6,Hoja1!$F$2:$J$61,4,FALSE),"")</f>
        <v/>
      </c>
      <c r="BK7" s="23" t="str">
        <f>IF(VLOOKUP(BK6,Hoja1!$F$2:$J$61,4,FALSE)&lt;&gt;0,VLOOKUP(BK6,Hoja1!$F$2:$J$61,4,FALSE),"")</f>
        <v/>
      </c>
      <c r="BL7" s="23" t="str">
        <f>IF(VLOOKUP(BL6,Hoja1!$F$2:$J$61,4,FALSE)&lt;&gt;0,VLOOKUP(BL6,Hoja1!$F$2:$J$61,4,FALSE),"")</f>
        <v/>
      </c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 t="str">
        <f>IF(VLOOKUP(CF6,Hoja1!$F$2:$J$61,4,FALSE)&lt;&gt;0,VLOOKUP(CF6,Hoja1!$F$2:$J$61,4,FALSE),"")</f>
        <v/>
      </c>
      <c r="CG7" s="9" t="str">
        <f>IF(VLOOKUP(CG6,Hoja1!$F$2:$J$61,4,FALSE)&lt;&gt;0,VLOOKUP(CG6,Hoja1!$F$2:$J$61,4,FALSE),"")</f>
        <v/>
      </c>
      <c r="CH7" s="9" t="str">
        <f>IF(VLOOKUP(CH6,Hoja1!$F$2:$J$61,4,FALSE)&lt;&gt;0,VLOOKUP(CH6,Hoja1!$F$2:$J$61,4,FALSE),"")</f>
        <v/>
      </c>
      <c r="CI7" s="9" t="str">
        <f>IF(VLOOKUP(CI6,Hoja1!$F$2:$J$61,4,FALSE)&lt;&gt;0,VLOOKUP(CI6,Hoja1!$F$2:$J$61,4,FALSE),"")</f>
        <v/>
      </c>
      <c r="CJ7" s="9" t="str">
        <f>IF(VLOOKUP(CJ6,Hoja1!$F$2:$J$61,4,FALSE)&lt;&gt;0,VLOOKUP(CJ6,Hoja1!$F$2:$J$61,4,FALSE),"")</f>
        <v/>
      </c>
      <c r="CK7" s="9" t="str">
        <f>IF(VLOOKUP(CK6,Hoja1!$F$2:$J$61,4,FALSE)&lt;&gt;0,VLOOKUP(CK6,Hoja1!$F$2:$J$61,4,FALSE),"")</f>
        <v/>
      </c>
      <c r="CL7" s="9" t="str">
        <f>IF(VLOOKUP(CL6,Hoja1!$F$2:$J$61,4,FALSE)&lt;&gt;0,VLOOKUP(CL6,Hoja1!$F$2:$J$61,4,FALSE),"")</f>
        <v/>
      </c>
      <c r="CM7" s="9" t="str">
        <f>IF(VLOOKUP(CM6,Hoja1!$F$2:$J$61,4,FALSE)&lt;&gt;0,VLOOKUP(CM6,Hoja1!$F$2:$J$61,4,FALSE),"")</f>
        <v/>
      </c>
      <c r="CN7" s="9" t="str">
        <f>IF(VLOOKUP(CN6,Hoja1!$F$2:$J$61,4,FALSE)&lt;&gt;0,VLOOKUP(CN6,Hoja1!$F$2:$J$61,4,FALSE),"")</f>
        <v/>
      </c>
      <c r="CO7" s="9" t="str">
        <f>IF(VLOOKUP(CO6,Hoja1!$F$2:$J$61,4,FALSE)&lt;&gt;0,VLOOKUP(CO6,Hoja1!$F$2:$J$61,4,FALSE),"")</f>
        <v/>
      </c>
      <c r="CP7" s="9" t="str">
        <f>IF(VLOOKUP(CP6,Hoja1!$F$2:$J$61,4,FALSE)&lt;&gt;0,VLOOKUP(CP6,Hoja1!$F$2:$J$61,4,FALSE),"")</f>
        <v/>
      </c>
      <c r="CQ7" s="9" t="str">
        <f>IF(VLOOKUP(CQ6,Hoja1!$F$2:$J$61,4,FALSE)&lt;&gt;0,VLOOKUP(CQ6,Hoja1!$F$2:$J$61,4,FALSE),"")</f>
        <v/>
      </c>
      <c r="CR7" s="9" t="str">
        <f>IF(VLOOKUP(CR6,Hoja1!$F$2:$J$61,4,FALSE)&lt;&gt;0,VLOOKUP(CR6,Hoja1!$F$2:$J$61,4,FALSE),"")</f>
        <v/>
      </c>
      <c r="CS7" s="9" t="str">
        <f>IF(VLOOKUP(CS6,Hoja1!$F$2:$J$61,4,FALSE)&lt;&gt;0,VLOOKUP(CS6,Hoja1!$F$2:$J$61,4,FALSE),"")</f>
        <v/>
      </c>
      <c r="CT7" s="9" t="str">
        <f>IF(VLOOKUP(CT6,Hoja1!$F$2:$J$61,4,FALSE)&lt;&gt;0,VLOOKUP(CT6,Hoja1!$F$2:$J$61,4,FALSE),"")</f>
        <v/>
      </c>
      <c r="CU7" s="9" t="str">
        <f>IF(VLOOKUP(CU6,Hoja1!$F$2:$J$61,4,FALSE)&lt;&gt;0,VLOOKUP(CU6,Hoja1!$F$2:$J$61,4,FALSE),"")</f>
        <v/>
      </c>
      <c r="CV7" s="9" t="str">
        <f>IF(VLOOKUP(CV6,Hoja1!$F$2:$J$61,4,FALSE)&lt;&gt;0,VLOOKUP(CV6,Hoja1!$F$2:$J$61,4,FALSE),"")</f>
        <v/>
      </c>
      <c r="CW7" s="9" t="str">
        <f>IF(VLOOKUP(CW6,Hoja1!$F$2:$J$61,4,FALSE)&lt;&gt;0,VLOOKUP(CW6,Hoja1!$F$2:$J$61,4,FALSE),"")</f>
        <v/>
      </c>
      <c r="CX7" s="9" t="str">
        <f>IF(VLOOKUP(CX6,Hoja1!$F$2:$J$61,4,FALSE)&lt;&gt;0,VLOOKUP(CX6,Hoja1!$F$2:$J$61,4,FALSE),"")</f>
        <v/>
      </c>
      <c r="CY7" s="9" t="str">
        <f>IF(VLOOKUP(CY6,Hoja1!$F$2:$J$61,4,FALSE)&lt;&gt;0,VLOOKUP(CY6,Hoja1!$F$2:$J$61,4,FALSE),"")</f>
        <v/>
      </c>
      <c r="CZ7" s="9" t="str">
        <f>IF(VLOOKUP(CZ6,Hoja1!$F$2:$J$61,4,FALSE)&lt;&gt;0,VLOOKUP(CZ6,Hoja1!$F$2:$J$61,4,FALSE),"")</f>
        <v/>
      </c>
      <c r="DA7" s="9" t="str">
        <f>IF(VLOOKUP(DA6,Hoja1!$F$2:$J$61,4,FALSE)&lt;&gt;0,VLOOKUP(DA6,Hoja1!$F$2:$J$61,4,FALSE),"")</f>
        <v/>
      </c>
      <c r="DB7" s="9" t="str">
        <f>IF(VLOOKUP(DB6,Hoja1!$F$2:$J$61,4,FALSE)&lt;&gt;0,VLOOKUP(DB6,Hoja1!$F$2:$J$61,4,FALSE),"")</f>
        <v/>
      </c>
      <c r="DC7" s="9" t="str">
        <f>IF(VLOOKUP(DC6,Hoja1!$F$2:$J$61,4,FALSE)&lt;&gt;0,VLOOKUP(DC6,Hoja1!$F$2:$J$61,4,FALSE),"")</f>
        <v/>
      </c>
      <c r="DD7" s="9" t="str">
        <f>IF(VLOOKUP(DD6,Hoja1!$F$2:$J$61,4,FALSE)&lt;&gt;0,VLOOKUP(DD6,Hoja1!$F$2:$J$61,4,FALSE),"")</f>
        <v/>
      </c>
      <c r="DE7" s="9" t="str">
        <f>IF(VLOOKUP(DE6,Hoja1!$F$2:$J$61,4,FALSE)&lt;&gt;0,VLOOKUP(DE6,Hoja1!$F$2:$J$61,4,FALSE),"")</f>
        <v/>
      </c>
      <c r="DF7" s="9" t="str">
        <f>IF(VLOOKUP(DF6,Hoja1!$F$2:$J$61,4,FALSE)&lt;&gt;0,VLOOKUP(DF6,Hoja1!$F$2:$J$61,4,FALSE),"")</f>
        <v/>
      </c>
      <c r="DG7" s="9" t="str">
        <f>IF(VLOOKUP(DG6,Hoja1!$F$2:$J$61,4,FALSE)&lt;&gt;0,VLOOKUP(DG6,Hoja1!$F$2:$J$61,4,FALSE),"")</f>
        <v/>
      </c>
      <c r="DH7" s="9" t="str">
        <f>IF(VLOOKUP(DH6,Hoja1!$F$2:$J$61,4,FALSE)&lt;&gt;0,VLOOKUP(DH6,Hoja1!$F$2:$J$61,4,FALSE),"")</f>
        <v/>
      </c>
      <c r="DI7" s="9" t="str">
        <f>IF(VLOOKUP(DI6,Hoja1!$F$2:$J$61,4,FALSE)&lt;&gt;0,VLOOKUP(DI6,Hoja1!$F$2:$J$61,4,FALSE),"")</f>
        <v/>
      </c>
      <c r="DJ7" s="9" t="str">
        <f>IF(VLOOKUP(DJ6,Hoja1!$F$2:$J$61,4,FALSE)&lt;&gt;0,VLOOKUP(DJ6,Hoja1!$F$2:$J$61,4,FALSE),"")</f>
        <v/>
      </c>
      <c r="DK7" s="9" t="str">
        <f>IF(VLOOKUP(DK6,Hoja1!$F$2:$J$61,4,FALSE)&lt;&gt;0,VLOOKUP(DK6,Hoja1!$F$2:$J$61,4,FALSE),"")</f>
        <v/>
      </c>
      <c r="DL7" s="9" t="str">
        <f>IF(VLOOKUP(DL6,Hoja1!$F$2:$J$61,4,FALSE)&lt;&gt;0,VLOOKUP(DL6,Hoja1!$F$2:$J$61,4,FALSE),"")</f>
        <v/>
      </c>
      <c r="DM7" s="9" t="str">
        <f>IF(VLOOKUP(DM6,Hoja1!$F$2:$J$61,4,FALSE)&lt;&gt;0,VLOOKUP(DM6,Hoja1!$F$2:$J$61,4,FALSE),"")</f>
        <v/>
      </c>
      <c r="DN7" s="9" t="str">
        <f>IF(VLOOKUP(DN6,Hoja1!$F$2:$J$61,4,FALSE)&lt;&gt;0,VLOOKUP(DN6,Hoja1!$F$2:$J$61,4,FALSE),"")</f>
        <v/>
      </c>
      <c r="DO7" s="9" t="str">
        <f>IF(VLOOKUP(DO6,Hoja1!$F$2:$J$61,4,FALSE)&lt;&gt;0,VLOOKUP(DO6,Hoja1!$F$2:$J$61,4,FALSE),"")</f>
        <v/>
      </c>
      <c r="DP7" s="9" t="str">
        <f>IF(VLOOKUP(DP6,Hoja1!$F$2:$J$61,4,FALSE)&lt;&gt;0,VLOOKUP(DP6,Hoja1!$F$2:$J$61,4,FALSE),"")</f>
        <v/>
      </c>
      <c r="DQ7" s="9" t="str">
        <f>IF(VLOOKUP(DQ6,Hoja1!$F$2:$J$61,4,FALSE)&lt;&gt;0,VLOOKUP(DQ6,Hoja1!$F$2:$J$61,4,FALSE),"")</f>
        <v/>
      </c>
      <c r="DR7" s="9" t="str">
        <f>IF(VLOOKUP(DR6,Hoja1!$F$2:$J$61,4,FALSE)&lt;&gt;0,VLOOKUP(DR6,Hoja1!$F$2:$J$61,4,FALSE),"")</f>
        <v/>
      </c>
      <c r="DS7" s="9" t="str">
        <f>IF(VLOOKUP(DS6,Hoja1!$F$2:$J$61,4,FALSE)&lt;&gt;0,VLOOKUP(DS6,Hoja1!$F$2:$J$61,4,FALSE),"")</f>
        <v/>
      </c>
      <c r="DT7" s="9" t="str">
        <f>IF(VLOOKUP(DT6,Hoja1!$F$2:$J$61,4,FALSE)&lt;&gt;0,VLOOKUP(DT6,Hoja1!$F$2:$J$61,4,FALSE),"")</f>
        <v/>
      </c>
      <c r="DU7" s="10">
        <f>Hoja1!I1</f>
        <v>0</v>
      </c>
      <c r="DV7" s="10">
        <f>60-COUNTBLANK(E8:BL8)</f>
        <v>17</v>
      </c>
    </row>
    <row r="8" spans="1:129" ht="25.5" hidden="1" customHeight="1" thickBot="1" x14ac:dyDescent="0.3">
      <c r="A8" s="9"/>
      <c r="B8" s="11"/>
      <c r="C8" s="50" t="s">
        <v>6</v>
      </c>
      <c r="D8" s="51"/>
      <c r="E8" s="24" t="e">
        <f>IF(VLOOKUP(E6,Hoja1!$F$2:$J$61,3,FALSE)&lt;&gt;0,VLOOKUP(E6,Hoja1!$F$2:$J$61,3,FALSE),"")</f>
        <v>#N/A</v>
      </c>
      <c r="F8" s="24" t="e">
        <f>IF(VLOOKUP(F6,Hoja1!$F$2:$J$61,3,FALSE)&lt;&gt;0,VLOOKUP(F6,Hoja1!$F$2:$J$61,3,FALSE),"")</f>
        <v>#N/A</v>
      </c>
      <c r="G8" s="24" t="e">
        <f>IF(VLOOKUP(G6,Hoja1!$F$2:$J$61,3,FALSE)&lt;&gt;0,VLOOKUP(G6,Hoja1!$F$2:$J$61,3,FALSE),"")</f>
        <v>#N/A</v>
      </c>
      <c r="H8" s="24" t="e">
        <f>IF(VLOOKUP(H6,Hoja1!$F$2:$J$61,3,FALSE)&lt;&gt;0,VLOOKUP(H6,Hoja1!$F$2:$J$61,3,FALSE),"")</f>
        <v>#N/A</v>
      </c>
      <c r="I8" s="24" t="e">
        <f>IF(VLOOKUP(I6,Hoja1!$F$2:$J$61,3,FALSE)&lt;&gt;0,VLOOKUP(I6,Hoja1!$F$2:$J$61,3,FALSE),"")</f>
        <v>#N/A</v>
      </c>
      <c r="J8" s="24" t="e">
        <f>IF(VLOOKUP(J6,Hoja1!$F$2:$J$61,3,FALSE)&lt;&gt;0,VLOOKUP(J6,Hoja1!$F$2:$J$61,3,FALSE),"")</f>
        <v>#N/A</v>
      </c>
      <c r="K8" s="24" t="e">
        <f>IF(VLOOKUP(K6,Hoja1!$F$2:$J$61,3,FALSE)&lt;&gt;0,VLOOKUP(K6,Hoja1!$F$2:$J$61,3,FALSE),"")</f>
        <v>#N/A</v>
      </c>
      <c r="L8" s="24" t="e">
        <f>IF(VLOOKUP(L6,Hoja1!$F$2:$J$61,3,FALSE)&lt;&gt;0,VLOOKUP(L6,Hoja1!$F$2:$J$61,3,FALSE),"")</f>
        <v>#N/A</v>
      </c>
      <c r="M8" s="24" t="e">
        <f>IF(VLOOKUP(M6,Hoja1!$F$2:$J$61,3,FALSE)&lt;&gt;0,VLOOKUP(M6,Hoja1!$F$2:$J$61,3,FALSE),"")</f>
        <v>#N/A</v>
      </c>
      <c r="N8" s="24" t="e">
        <f>IF(VLOOKUP(N6,Hoja1!$F$2:$J$61,3,FALSE)&lt;&gt;0,VLOOKUP(N6,Hoja1!$F$2:$J$61,3,FALSE),"")</f>
        <v>#N/A</v>
      </c>
      <c r="O8" s="24" t="e">
        <f>IF(VLOOKUP(O6,Hoja1!$F$2:$J$61,3,FALSE)&lt;&gt;0,VLOOKUP(O6,Hoja1!$F$2:$J$61,3,FALSE),"")</f>
        <v>#N/A</v>
      </c>
      <c r="P8" s="24" t="e">
        <f>IF(VLOOKUP(P6,Hoja1!$F$2:$J$61,3,FALSE)&lt;&gt;0,VLOOKUP(P6,Hoja1!$F$2:$J$61,3,FALSE),"")</f>
        <v>#N/A</v>
      </c>
      <c r="Q8" s="24" t="e">
        <f>IF(VLOOKUP(Q6,Hoja1!$F$2:$J$61,3,FALSE)&lt;&gt;0,VLOOKUP(Q6,Hoja1!$F$2:$J$61,3,FALSE),"")</f>
        <v>#N/A</v>
      </c>
      <c r="R8" s="24" t="e">
        <f>IF(VLOOKUP(R6,Hoja1!$F$2:$J$61,3,FALSE)&lt;&gt;0,VLOOKUP(R6,Hoja1!$F$2:$J$61,3,FALSE),"")</f>
        <v>#N/A</v>
      </c>
      <c r="S8" s="24" t="e">
        <f>IF(VLOOKUP(S6,Hoja1!$F$2:$J$61,3,FALSE)&lt;&gt;0,VLOOKUP(S6,Hoja1!$F$2:$J$61,3,FALSE),"")</f>
        <v>#N/A</v>
      </c>
      <c r="T8" s="24" t="e">
        <f>IF(VLOOKUP(T6,Hoja1!$F$2:$J$61,3,FALSE)&lt;&gt;0,VLOOKUP(T6,Hoja1!$F$2:$J$61,3,FALSE),"")</f>
        <v>#N/A</v>
      </c>
      <c r="U8" s="24" t="e">
        <f>IF(VLOOKUP(U6,Hoja1!$F$2:$J$61,3,FALSE)&lt;&gt;0,VLOOKUP(U6,Hoja1!$F$2:$J$61,3,FALSE),"")</f>
        <v>#N/A</v>
      </c>
      <c r="V8" s="24" t="str">
        <f>IF(VLOOKUP(V6,Hoja1!$F$2:$J$61,3,FALSE)&lt;&gt;0,VLOOKUP(V6,Hoja1!$F$2:$J$61,3,FALSE),"")</f>
        <v/>
      </c>
      <c r="W8" s="24" t="str">
        <f>IF(VLOOKUP(W6,Hoja1!$F$2:$J$61,3,FALSE)&lt;&gt;0,VLOOKUP(W6,Hoja1!$F$2:$J$61,3,FALSE),"")</f>
        <v/>
      </c>
      <c r="X8" s="24" t="str">
        <f>IF(VLOOKUP(X6,Hoja1!$F$2:$J$61,3,FALSE)&lt;&gt;0,VLOOKUP(X6,Hoja1!$F$2:$J$61,3,FALSE),"")</f>
        <v/>
      </c>
      <c r="Y8" s="24" t="str">
        <f>IF(VLOOKUP(Y6,Hoja1!$F$2:$J$61,3,FALSE)&lt;&gt;0,VLOOKUP(Y6,Hoja1!$F$2:$J$61,3,FALSE),"")</f>
        <v/>
      </c>
      <c r="Z8" s="24" t="str">
        <f>IF(VLOOKUP(Z6,Hoja1!$F$2:$J$61,3,FALSE)&lt;&gt;0,VLOOKUP(Z6,Hoja1!$F$2:$J$61,3,FALSE),"")</f>
        <v/>
      </c>
      <c r="AA8" s="24" t="str">
        <f>IF(VLOOKUP(AA6,Hoja1!$F$2:$J$61,3,FALSE)&lt;&gt;0,VLOOKUP(AA6,Hoja1!$F$2:$J$61,3,FALSE),"")</f>
        <v/>
      </c>
      <c r="AB8" s="24" t="str">
        <f>IF(VLOOKUP(AB6,Hoja1!$F$2:$J$61,3,FALSE)&lt;&gt;0,VLOOKUP(AB6,Hoja1!$F$2:$J$61,3,FALSE),"")</f>
        <v/>
      </c>
      <c r="AC8" s="24" t="str">
        <f>IF(VLOOKUP(AC6,Hoja1!$F$2:$J$61,3,FALSE)&lt;&gt;0,VLOOKUP(AC6,Hoja1!$F$2:$J$61,3,FALSE),"")</f>
        <v/>
      </c>
      <c r="AD8" s="24" t="str">
        <f>IF(VLOOKUP(AD6,Hoja1!$F$2:$J$61,3,FALSE)&lt;&gt;0,VLOOKUP(AD6,Hoja1!$F$2:$J$61,3,FALSE),"")</f>
        <v/>
      </c>
      <c r="AE8" s="24" t="str">
        <f>IF(VLOOKUP(AE6,Hoja1!$F$2:$J$61,3,FALSE)&lt;&gt;0,VLOOKUP(AE6,Hoja1!$F$2:$J$61,3,FALSE),"")</f>
        <v/>
      </c>
      <c r="AF8" s="24" t="str">
        <f>IF(VLOOKUP(AF6,Hoja1!$F$2:$J$61,3,FALSE)&lt;&gt;0,VLOOKUP(AF6,Hoja1!$F$2:$J$61,3,FALSE),"")</f>
        <v/>
      </c>
      <c r="AG8" s="24" t="str">
        <f>IF(VLOOKUP(AG6,Hoja1!$F$2:$J$61,3,FALSE)&lt;&gt;0,VLOOKUP(AG6,Hoja1!$F$2:$J$61,3,FALSE),"")</f>
        <v/>
      </c>
      <c r="AH8" s="24" t="str">
        <f>IF(VLOOKUP(AH6,Hoja1!$F$2:$J$61,3,FALSE)&lt;&gt;0,VLOOKUP(AH6,Hoja1!$F$2:$J$61,3,FALSE),"")</f>
        <v/>
      </c>
      <c r="AI8" s="24" t="str">
        <f>IF(VLOOKUP(AI6,Hoja1!$F$2:$J$61,3,FALSE)&lt;&gt;0,VLOOKUP(AI6,Hoja1!$F$2:$J$61,3,FALSE),"")</f>
        <v/>
      </c>
      <c r="AJ8" s="24" t="str">
        <f>IF(VLOOKUP(AJ6,Hoja1!$F$2:$J$61,3,FALSE)&lt;&gt;0,VLOOKUP(AJ6,Hoja1!$F$2:$J$61,3,FALSE),"")</f>
        <v/>
      </c>
      <c r="AK8" s="24" t="str">
        <f>IF(VLOOKUP(AK6,Hoja1!$F$2:$J$61,3,FALSE)&lt;&gt;0,VLOOKUP(AK6,Hoja1!$F$2:$J$61,3,FALSE),"")</f>
        <v/>
      </c>
      <c r="AL8" s="24" t="str">
        <f>IF(VLOOKUP(AL6,Hoja1!$F$2:$J$61,3,FALSE)&lt;&gt;0,VLOOKUP(AL6,Hoja1!$F$2:$J$61,3,FALSE),"")</f>
        <v/>
      </c>
      <c r="AM8" s="24" t="str">
        <f>IF(VLOOKUP(AM6,Hoja1!$F$2:$J$61,3,FALSE)&lt;&gt;0,VLOOKUP(AM6,Hoja1!$F$2:$J$61,3,FALSE),"")</f>
        <v/>
      </c>
      <c r="AN8" s="24" t="str">
        <f>IF(VLOOKUP(AN6,Hoja1!$F$2:$J$61,3,FALSE)&lt;&gt;0,VLOOKUP(AN6,Hoja1!$F$2:$J$61,3,FALSE),"")</f>
        <v/>
      </c>
      <c r="AO8" s="24" t="str">
        <f>IF(VLOOKUP(AO6,Hoja1!$F$2:$J$61,3,FALSE)&lt;&gt;0,VLOOKUP(AO6,Hoja1!$F$2:$J$61,3,FALSE),"")</f>
        <v/>
      </c>
      <c r="AP8" s="24" t="str">
        <f>IF(VLOOKUP(AP6,Hoja1!$F$2:$J$61,3,FALSE)&lt;&gt;0,VLOOKUP(AP6,Hoja1!$F$2:$J$61,3,FALSE),"")</f>
        <v/>
      </c>
      <c r="AQ8" s="24" t="str">
        <f>IF(VLOOKUP(AQ6,Hoja1!$F$2:$J$61,3,FALSE)&lt;&gt;0,VLOOKUP(AQ6,Hoja1!$F$2:$J$61,3,FALSE),"")</f>
        <v/>
      </c>
      <c r="AR8" s="24" t="str">
        <f>IF(VLOOKUP(AR6,Hoja1!$F$2:$J$61,3,FALSE)&lt;&gt;0,VLOOKUP(AR6,Hoja1!$F$2:$J$61,3,FALSE),"")</f>
        <v/>
      </c>
      <c r="AS8" s="24" t="str">
        <f>IF(VLOOKUP(AS6,Hoja1!$F$2:$J$61,3,FALSE)&lt;&gt;0,VLOOKUP(AS6,Hoja1!$F$2:$J$61,3,FALSE),"")</f>
        <v/>
      </c>
      <c r="AT8" s="24" t="str">
        <f>IF(VLOOKUP(AT6,Hoja1!$F$2:$J$61,3,FALSE)&lt;&gt;0,VLOOKUP(AT6,Hoja1!$F$2:$J$61,3,FALSE),"")</f>
        <v/>
      </c>
      <c r="AU8" s="24" t="str">
        <f>IF(VLOOKUP(AU6,Hoja1!$F$2:$J$61,3,FALSE)&lt;&gt;0,VLOOKUP(AU6,Hoja1!$F$2:$J$61,3,FALSE),"")</f>
        <v/>
      </c>
      <c r="AV8" s="24" t="str">
        <f>IF(VLOOKUP(AV6,Hoja1!$F$2:$J$61,3,FALSE)&lt;&gt;0,VLOOKUP(AV6,Hoja1!$F$2:$J$61,3,FALSE),"")</f>
        <v/>
      </c>
      <c r="AW8" s="24" t="str">
        <f>IF(VLOOKUP(AW6,Hoja1!$F$2:$J$61,3,FALSE)&lt;&gt;0,VLOOKUP(AW6,Hoja1!$F$2:$J$61,3,FALSE),"")</f>
        <v/>
      </c>
      <c r="AX8" s="24" t="str">
        <f>IF(VLOOKUP(AX6,Hoja1!$F$2:$J$61,3,FALSE)&lt;&gt;0,VLOOKUP(AX6,Hoja1!$F$2:$J$61,3,FALSE),"")</f>
        <v/>
      </c>
      <c r="AY8" s="24" t="str">
        <f>IF(VLOOKUP(AY6,Hoja1!$F$2:$J$61,3,FALSE)&lt;&gt;0,VLOOKUP(AY6,Hoja1!$F$2:$J$61,3,FALSE),"")</f>
        <v/>
      </c>
      <c r="AZ8" s="24" t="str">
        <f>IF(VLOOKUP(AZ6,Hoja1!$F$2:$J$61,3,FALSE)&lt;&gt;0,VLOOKUP(AZ6,Hoja1!$F$2:$J$61,3,FALSE),"")</f>
        <v/>
      </c>
      <c r="BA8" s="24" t="str">
        <f>IF(VLOOKUP(BA6,Hoja1!$F$2:$J$61,3,FALSE)&lt;&gt;0,VLOOKUP(BA6,Hoja1!$F$2:$J$61,3,FALSE),"")</f>
        <v/>
      </c>
      <c r="BB8" s="24" t="str">
        <f>IF(VLOOKUP(BB6,Hoja1!$F$2:$J$61,3,FALSE)&lt;&gt;0,VLOOKUP(BB6,Hoja1!$F$2:$J$61,3,FALSE),"")</f>
        <v/>
      </c>
      <c r="BC8" s="24" t="str">
        <f>IF(VLOOKUP(BC6,Hoja1!$F$2:$J$61,3,FALSE)&lt;&gt;0,VLOOKUP(BC6,Hoja1!$F$2:$J$61,3,FALSE),"")</f>
        <v/>
      </c>
      <c r="BD8" s="24" t="str">
        <f>IF(VLOOKUP(BD6,Hoja1!$F$2:$J$61,3,FALSE)&lt;&gt;0,VLOOKUP(BD6,Hoja1!$F$2:$J$61,3,FALSE),"")</f>
        <v/>
      </c>
      <c r="BE8" s="24" t="str">
        <f>IF(VLOOKUP(BE6,Hoja1!$F$2:$J$61,3,FALSE)&lt;&gt;0,VLOOKUP(BE6,Hoja1!$F$2:$J$61,3,FALSE),"")</f>
        <v/>
      </c>
      <c r="BF8" s="24" t="str">
        <f>IF(VLOOKUP(BF6,Hoja1!$F$2:$J$61,3,FALSE)&lt;&gt;0,VLOOKUP(BF6,Hoja1!$F$2:$J$61,3,FALSE),"")</f>
        <v/>
      </c>
      <c r="BG8" s="24" t="str">
        <f>IF(VLOOKUP(BG6,Hoja1!$F$2:$J$61,3,FALSE)&lt;&gt;0,VLOOKUP(BG6,Hoja1!$F$2:$J$61,3,FALSE),"")</f>
        <v/>
      </c>
      <c r="BH8" s="24" t="str">
        <f>IF(VLOOKUP(BH6,Hoja1!$F$2:$J$61,3,FALSE)&lt;&gt;0,VLOOKUP(BH6,Hoja1!$F$2:$J$61,3,FALSE),"")</f>
        <v/>
      </c>
      <c r="BI8" s="24" t="str">
        <f>IF(VLOOKUP(BI6,Hoja1!$F$2:$J$61,3,FALSE)&lt;&gt;0,VLOOKUP(BI6,Hoja1!$F$2:$J$61,3,FALSE),"")</f>
        <v/>
      </c>
      <c r="BJ8" s="24" t="str">
        <f>IF(VLOOKUP(BJ6,Hoja1!$F$2:$J$61,3,FALSE)&lt;&gt;0,VLOOKUP(BJ6,Hoja1!$F$2:$J$61,3,FALSE),"")</f>
        <v/>
      </c>
      <c r="BK8" s="24" t="str">
        <f>IF(VLOOKUP(BK6,Hoja1!$F$2:$J$61,3,FALSE)&lt;&gt;0,VLOOKUP(BK6,Hoja1!$F$2:$J$61,3,FALSE),"")</f>
        <v/>
      </c>
      <c r="BL8" s="24" t="str">
        <f>IF(VLOOKUP(BL6,Hoja1!$F$2:$J$61,3,FALSE)&lt;&gt;0,VLOOKUP(BL6,Hoja1!$F$2:$J$61,3,FALSE),"")</f>
        <v/>
      </c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11"/>
      <c r="DV8" s="11"/>
    </row>
    <row r="9" spans="1:129" ht="138.75" customHeight="1" thickBot="1" x14ac:dyDescent="0.3">
      <c r="A9" s="44" t="s">
        <v>0</v>
      </c>
      <c r="B9" s="43" t="s">
        <v>1</v>
      </c>
      <c r="C9" s="45" t="s">
        <v>2</v>
      </c>
      <c r="D9" s="45" t="s">
        <v>18</v>
      </c>
      <c r="E9" s="40" t="e">
        <f>IF(VLOOKUP(E6,Hoja1!$F$2:$J$61,2,FALSE)&lt;&gt;0,VLOOKUP(E6,Hoja1!$F$2:$J$61,2,FALSE),"")</f>
        <v>#N/A</v>
      </c>
      <c r="F9" s="40" t="e">
        <f>IF(VLOOKUP(F6,Hoja1!$F$2:$J$61,2,FALSE)&lt;&gt;0,VLOOKUP(F6,Hoja1!$F$2:$J$61,2,FALSE),"")</f>
        <v>#N/A</v>
      </c>
      <c r="G9" s="40" t="e">
        <f>IF(VLOOKUP(G6,Hoja1!$F$2:$J$61,2,FALSE)&lt;&gt;0,VLOOKUP(G6,Hoja1!$F$2:$J$61,2,FALSE),"")</f>
        <v>#N/A</v>
      </c>
      <c r="H9" s="40" t="e">
        <f>IF(VLOOKUP(H6,Hoja1!$F$2:$J$61,2,FALSE)&lt;&gt;0,VLOOKUP(H6,Hoja1!$F$2:$J$61,2,FALSE),"")</f>
        <v>#N/A</v>
      </c>
      <c r="I9" s="40" t="e">
        <f>IF(VLOOKUP(I6,Hoja1!$F$2:$J$61,2,FALSE)&lt;&gt;0,VLOOKUP(I6,Hoja1!$F$2:$J$61,2,FALSE),"")</f>
        <v>#N/A</v>
      </c>
      <c r="J9" s="40" t="e">
        <f>IF(VLOOKUP(J6,Hoja1!$F$2:$J$61,2,FALSE)&lt;&gt;0,VLOOKUP(J6,Hoja1!$F$2:$J$61,2,FALSE),"")</f>
        <v>#N/A</v>
      </c>
      <c r="K9" s="40" t="e">
        <f>IF(VLOOKUP(K6,Hoja1!$F$2:$J$61,2,FALSE)&lt;&gt;0,VLOOKUP(K6,Hoja1!$F$2:$J$61,2,FALSE),"")</f>
        <v>#N/A</v>
      </c>
      <c r="L9" s="40" t="e">
        <f>IF(VLOOKUP(L6,Hoja1!$F$2:$J$61,2,FALSE)&lt;&gt;0,VLOOKUP(L6,Hoja1!$F$2:$J$61,2,FALSE),"")</f>
        <v>#N/A</v>
      </c>
      <c r="M9" s="40" t="e">
        <f>IF(VLOOKUP(M6,Hoja1!$F$2:$J$61,2,FALSE)&lt;&gt;0,VLOOKUP(M6,Hoja1!$F$2:$J$61,2,FALSE),"")</f>
        <v>#N/A</v>
      </c>
      <c r="N9" s="40" t="e">
        <f>IF(VLOOKUP(N6,Hoja1!$F$2:$J$61,2,FALSE)&lt;&gt;0,VLOOKUP(N6,Hoja1!$F$2:$J$61,2,FALSE),"")</f>
        <v>#N/A</v>
      </c>
      <c r="O9" s="40" t="e">
        <f>IF(VLOOKUP(O6,Hoja1!$F$2:$J$61,2,FALSE)&lt;&gt;0,VLOOKUP(O6,Hoja1!$F$2:$J$61,2,FALSE),"")</f>
        <v>#N/A</v>
      </c>
      <c r="P9" s="40" t="e">
        <f>IF(VLOOKUP(P6,Hoja1!$F$2:$J$61,2,FALSE)&lt;&gt;0,VLOOKUP(P6,Hoja1!$F$2:$J$61,2,FALSE),"")</f>
        <v>#N/A</v>
      </c>
      <c r="Q9" s="40" t="e">
        <f>IF(VLOOKUP(Q6,Hoja1!$F$2:$J$61,2,FALSE)&lt;&gt;0,VLOOKUP(Q6,Hoja1!$F$2:$J$61,2,FALSE),"")</f>
        <v>#N/A</v>
      </c>
      <c r="R9" s="40" t="e">
        <f>IF(VLOOKUP(R6,Hoja1!$F$2:$J$61,2,FALSE)&lt;&gt;0,VLOOKUP(R6,Hoja1!$F$2:$J$61,2,FALSE),"")</f>
        <v>#N/A</v>
      </c>
      <c r="S9" s="40" t="e">
        <f>IF(VLOOKUP(S6,Hoja1!$F$2:$J$61,2,FALSE)&lt;&gt;0,VLOOKUP(S6,Hoja1!$F$2:$J$61,2,FALSE),"")</f>
        <v>#N/A</v>
      </c>
      <c r="T9" s="40" t="e">
        <f>IF(VLOOKUP(T6,Hoja1!$F$2:$J$61,2,FALSE)&lt;&gt;0,VLOOKUP(T6,Hoja1!$F$2:$J$61,2,FALSE),"")</f>
        <v>#N/A</v>
      </c>
      <c r="U9" s="40" t="e">
        <f>IF(VLOOKUP(U6,Hoja1!$F$2:$J$61,2,FALSE)&lt;&gt;0,VLOOKUP(U6,Hoja1!$F$2:$J$61,2,FALSE),"")</f>
        <v>#N/A</v>
      </c>
      <c r="V9" s="40" t="str">
        <f>IF(VLOOKUP(V6,Hoja1!$F$2:$J$61,2,FALSE)&lt;&gt;0,VLOOKUP(V6,Hoja1!$F$2:$J$61,2,FALSE),"")</f>
        <v/>
      </c>
      <c r="W9" s="40" t="str">
        <f>IF(VLOOKUP(W6,Hoja1!$F$2:$J$61,2,FALSE)&lt;&gt;0,VLOOKUP(W6,Hoja1!$F$2:$J$61,2,FALSE),"")</f>
        <v/>
      </c>
      <c r="X9" s="40" t="str">
        <f>IF(VLOOKUP(X6,Hoja1!$F$2:$J$61,2,FALSE)&lt;&gt;0,VLOOKUP(X6,Hoja1!$F$2:$J$61,2,FALSE),"")</f>
        <v/>
      </c>
      <c r="Y9" s="40" t="str">
        <f>IF(VLOOKUP(Y6,Hoja1!$F$2:$J$61,2,FALSE)&lt;&gt;0,VLOOKUP(Y6,Hoja1!$F$2:$J$61,2,FALSE),"")</f>
        <v/>
      </c>
      <c r="Z9" s="40" t="str">
        <f>IF(VLOOKUP(Z6,Hoja1!$F$2:$J$61,2,FALSE)&lt;&gt;0,VLOOKUP(Z6,Hoja1!$F$2:$J$61,2,FALSE),"")</f>
        <v/>
      </c>
      <c r="AA9" s="40" t="str">
        <f>IF(VLOOKUP(AA6,Hoja1!$F$2:$J$61,2,FALSE)&lt;&gt;0,VLOOKUP(AA6,Hoja1!$F$2:$J$61,2,FALSE),"")</f>
        <v/>
      </c>
      <c r="AB9" s="40" t="str">
        <f>IF(VLOOKUP(AB6,Hoja1!$F$2:$J$61,2,FALSE)&lt;&gt;0,VLOOKUP(AB6,Hoja1!$F$2:$J$61,2,FALSE),"")</f>
        <v/>
      </c>
      <c r="AC9" s="40" t="str">
        <f>IF(VLOOKUP(AC6,Hoja1!$F$2:$J$61,2,FALSE)&lt;&gt;0,VLOOKUP(AC6,Hoja1!$F$2:$J$61,2,FALSE),"")</f>
        <v/>
      </c>
      <c r="AD9" s="40" t="str">
        <f>IF(VLOOKUP(AD6,Hoja1!$F$2:$J$61,2,FALSE)&lt;&gt;0,VLOOKUP(AD6,Hoja1!$F$2:$J$61,2,FALSE),"")</f>
        <v/>
      </c>
      <c r="AE9" s="40" t="str">
        <f>IF(VLOOKUP(AE6,Hoja1!$F$2:$J$61,2,FALSE)&lt;&gt;0,VLOOKUP(AE6,Hoja1!$F$2:$J$61,2,FALSE),"")</f>
        <v/>
      </c>
      <c r="AF9" s="40" t="str">
        <f>IF(VLOOKUP(AF6,Hoja1!$F$2:$J$61,2,FALSE)&lt;&gt;0,VLOOKUP(AF6,Hoja1!$F$2:$J$61,2,FALSE),"")</f>
        <v/>
      </c>
      <c r="AG9" s="40" t="str">
        <f>IF(VLOOKUP(AG6,Hoja1!$F$2:$J$61,2,FALSE)&lt;&gt;0,VLOOKUP(AG6,Hoja1!$F$2:$J$61,2,FALSE),"")</f>
        <v/>
      </c>
      <c r="AH9" s="40" t="str">
        <f>IF(VLOOKUP(AH6,Hoja1!$F$2:$J$61,2,FALSE)&lt;&gt;0,VLOOKUP(AH6,Hoja1!$F$2:$J$61,2,FALSE),"")</f>
        <v/>
      </c>
      <c r="AI9" s="40" t="str">
        <f>IF(VLOOKUP(AI6,Hoja1!$F$2:$J$61,2,FALSE)&lt;&gt;0,VLOOKUP(AI6,Hoja1!$F$2:$J$61,2,FALSE),"")</f>
        <v/>
      </c>
      <c r="AJ9" s="40" t="str">
        <f>IF(VLOOKUP(AJ6,Hoja1!$F$2:$J$61,2,FALSE)&lt;&gt;0,VLOOKUP(AJ6,Hoja1!$F$2:$J$61,2,FALSE),"")</f>
        <v/>
      </c>
      <c r="AK9" s="40"/>
      <c r="AL9" s="40" t="str">
        <f>IF(VLOOKUP(AL6,Hoja1!$F$2:$J$61,2,FALSE)&lt;&gt;0,VLOOKUP(AL6,Hoja1!$F$2:$J$61,2,FALSE),"")</f>
        <v/>
      </c>
      <c r="AM9" s="40" t="str">
        <f>IF(VLOOKUP(AM6,Hoja1!$F$2:$J$61,2,FALSE)&lt;&gt;0,VLOOKUP(AM6,Hoja1!$F$2:$J$61,2,FALSE),"")</f>
        <v/>
      </c>
      <c r="AN9" s="40" t="str">
        <f>IF(VLOOKUP(AN6,Hoja1!$F$2:$J$61,2,FALSE)&lt;&gt;0,VLOOKUP(AN6,Hoja1!$F$2:$J$61,2,FALSE),"")</f>
        <v/>
      </c>
      <c r="AO9" s="40" t="str">
        <f>IF(VLOOKUP(AO6,Hoja1!$F$2:$J$61,2,FALSE)&lt;&gt;0,VLOOKUP(AO6,Hoja1!$F$2:$J$61,2,FALSE),"")</f>
        <v/>
      </c>
      <c r="AP9" s="40" t="str">
        <f>IF(VLOOKUP(AP6,Hoja1!$F$2:$J$61,2,FALSE)&lt;&gt;0,VLOOKUP(AP6,Hoja1!$F$2:$J$61,2,FALSE),"")</f>
        <v/>
      </c>
      <c r="AQ9" s="40" t="str">
        <f>IF(VLOOKUP(AQ6,Hoja1!$F$2:$J$61,2,FALSE)&lt;&gt;0,VLOOKUP(AQ6,Hoja1!$F$2:$J$61,2,FALSE),"")</f>
        <v/>
      </c>
      <c r="AR9" s="40" t="str">
        <f>IF(VLOOKUP(AR6,Hoja1!$F$2:$J$61,2,FALSE)&lt;&gt;0,VLOOKUP(AR6,Hoja1!$F$2:$J$61,2,FALSE),"")</f>
        <v/>
      </c>
      <c r="AS9" s="40" t="str">
        <f>IF(VLOOKUP(AS6,Hoja1!$F$2:$J$61,2,FALSE)&lt;&gt;0,VLOOKUP(AS6,Hoja1!$F$2:$J$61,2,FALSE),"")</f>
        <v/>
      </c>
      <c r="AT9" s="40" t="str">
        <f>IF(VLOOKUP(AT6,Hoja1!$F$2:$J$61,2,FALSE)&lt;&gt;0,VLOOKUP(AT6,Hoja1!$F$2:$J$61,2,FALSE),"")</f>
        <v/>
      </c>
      <c r="AU9" s="40" t="str">
        <f>IF(VLOOKUP(AU6,Hoja1!$F$2:$J$61,2,FALSE)&lt;&gt;0,VLOOKUP(AU6,Hoja1!$F$2:$J$61,2,FALSE),"")</f>
        <v/>
      </c>
      <c r="AV9" s="40" t="str">
        <f>IF(VLOOKUP(AV6,Hoja1!$F$2:$J$61,2,FALSE)&lt;&gt;0,VLOOKUP(AV6,Hoja1!$F$2:$J$61,2,FALSE),"")</f>
        <v/>
      </c>
      <c r="AW9" s="40" t="str">
        <f>IF(VLOOKUP(AW6,Hoja1!$F$2:$J$61,2,FALSE)&lt;&gt;0,VLOOKUP(AW6,Hoja1!$F$2:$J$61,2,FALSE),"")</f>
        <v/>
      </c>
      <c r="AX9" s="40" t="str">
        <f>IF(VLOOKUP(AX6,Hoja1!$F$2:$J$61,2,FALSE)&lt;&gt;0,VLOOKUP(AX6,Hoja1!$F$2:$J$61,2,FALSE),"")</f>
        <v/>
      </c>
      <c r="AY9" s="40" t="str">
        <f>IF(VLOOKUP(AY6,Hoja1!$F$2:$J$61,2,FALSE)&lt;&gt;0,VLOOKUP(AY6,Hoja1!$F$2:$J$61,2,FALSE),"")</f>
        <v/>
      </c>
      <c r="AZ9" s="40" t="str">
        <f>IF(VLOOKUP(AZ6,Hoja1!$F$2:$J$61,2,FALSE)&lt;&gt;0,VLOOKUP(AZ6,Hoja1!$F$2:$J$61,2,FALSE),"")</f>
        <v/>
      </c>
      <c r="BA9" s="40" t="str">
        <f>IF(VLOOKUP(BA6,Hoja1!$F$2:$J$61,2,FALSE)&lt;&gt;0,VLOOKUP(BA6,Hoja1!$F$2:$J$61,2,FALSE),"")</f>
        <v/>
      </c>
      <c r="BB9" s="40" t="str">
        <f>IF(VLOOKUP(BB6,Hoja1!$F$2:$J$61,2,FALSE)&lt;&gt;0,VLOOKUP(BB6,Hoja1!$F$2:$J$61,2,FALSE),"")</f>
        <v/>
      </c>
      <c r="BC9" s="40" t="str">
        <f>IF(VLOOKUP(BC6,Hoja1!$F$2:$J$61,2,FALSE)&lt;&gt;0,VLOOKUP(BC6,Hoja1!$F$2:$J$61,2,FALSE),"")</f>
        <v/>
      </c>
      <c r="BD9" s="40" t="str">
        <f>IF(VLOOKUP(BD6,Hoja1!$F$2:$J$61,2,FALSE)&lt;&gt;0,VLOOKUP(BD6,Hoja1!$F$2:$J$61,2,FALSE),"")</f>
        <v/>
      </c>
      <c r="BE9" s="40" t="str">
        <f>IF(VLOOKUP(BE6,Hoja1!$F$2:$J$61,2,FALSE)&lt;&gt;0,VLOOKUP(BE6,Hoja1!$F$2:$J$61,2,FALSE),"")</f>
        <v/>
      </c>
      <c r="BF9" s="40" t="str">
        <f>IF(VLOOKUP(BF6,Hoja1!$F$2:$J$61,2,FALSE)&lt;&gt;0,VLOOKUP(BF6,Hoja1!$F$2:$J$61,2,FALSE),"")</f>
        <v/>
      </c>
      <c r="BG9" s="40" t="str">
        <f>IF(VLOOKUP(BG6,Hoja1!$F$2:$J$61,2,FALSE)&lt;&gt;0,VLOOKUP(BG6,Hoja1!$F$2:$J$61,2,FALSE),"")</f>
        <v/>
      </c>
      <c r="BH9" s="40" t="str">
        <f>IF(VLOOKUP(BH6,Hoja1!$F$2:$J$61,2,FALSE)&lt;&gt;0,VLOOKUP(BH6,Hoja1!$F$2:$J$61,2,FALSE),"")</f>
        <v/>
      </c>
      <c r="BI9" s="40" t="str">
        <f>IF(VLOOKUP(BI6,Hoja1!$F$2:$J$61,2,FALSE)&lt;&gt;0,VLOOKUP(BI6,Hoja1!$F$2:$J$61,2,FALSE),"")</f>
        <v/>
      </c>
      <c r="BJ9" s="40" t="str">
        <f>IF(VLOOKUP(BJ6,Hoja1!$F$2:$J$61,2,FALSE)&lt;&gt;0,VLOOKUP(BJ6,Hoja1!$F$2:$J$61,2,FALSE),"")</f>
        <v/>
      </c>
      <c r="BK9" s="40" t="str">
        <f>IF(VLOOKUP(BK6,Hoja1!$F$2:$J$61,2,FALSE)&lt;&gt;0,VLOOKUP(BK6,Hoja1!$F$2:$J$61,2,FALSE),"")</f>
        <v/>
      </c>
      <c r="BL9" s="40"/>
      <c r="BM9" s="12"/>
      <c r="BN9" s="12"/>
      <c r="BO9" s="12"/>
      <c r="BP9" s="12"/>
      <c r="BQ9" s="12"/>
      <c r="BR9" s="12"/>
      <c r="BS9" s="12"/>
      <c r="BT9" s="12"/>
      <c r="BU9" s="12"/>
      <c r="BV9" s="12"/>
      <c r="BW9" s="12"/>
      <c r="BX9" s="12"/>
      <c r="BY9" s="12"/>
      <c r="BZ9" s="12"/>
      <c r="CA9" s="12"/>
      <c r="CB9" s="12"/>
      <c r="CC9" s="12"/>
      <c r="CD9" s="12"/>
      <c r="CE9" s="12"/>
      <c r="CF9" s="12"/>
      <c r="CG9" s="12"/>
      <c r="CH9" s="12"/>
      <c r="CI9" s="12"/>
      <c r="CJ9" s="12"/>
      <c r="CK9" s="12"/>
      <c r="CL9" s="12"/>
      <c r="CM9" s="12"/>
      <c r="CN9" s="12"/>
      <c r="CO9" s="12"/>
      <c r="CP9" s="12"/>
      <c r="CQ9" s="12"/>
      <c r="CR9" s="12"/>
      <c r="CS9" s="12"/>
      <c r="CT9" s="12"/>
      <c r="CU9" s="12"/>
      <c r="CV9" s="12"/>
      <c r="CW9" s="12"/>
      <c r="CX9" s="12"/>
      <c r="CY9" s="12"/>
      <c r="CZ9" s="12"/>
      <c r="DA9" s="12"/>
      <c r="DB9" s="12"/>
      <c r="DC9" s="12"/>
      <c r="DD9" s="12"/>
      <c r="DE9" s="12"/>
      <c r="DF9" s="12"/>
      <c r="DG9" s="12"/>
      <c r="DH9" s="12"/>
      <c r="DI9" s="12"/>
      <c r="DJ9" s="12"/>
      <c r="DK9" s="12"/>
      <c r="DL9" s="12"/>
      <c r="DM9" s="12"/>
      <c r="DN9" s="12"/>
      <c r="DO9" s="12"/>
      <c r="DP9" s="12"/>
      <c r="DQ9" s="12"/>
      <c r="DR9" s="12"/>
      <c r="DS9" s="12"/>
      <c r="DT9" s="12"/>
      <c r="DU9" s="20" t="s">
        <v>3</v>
      </c>
      <c r="DV9" s="21" t="s">
        <v>4</v>
      </c>
      <c r="DW9" s="46" t="s">
        <v>20</v>
      </c>
    </row>
    <row r="10" spans="1:129" ht="23.25" customHeight="1" x14ac:dyDescent="0.25">
      <c r="A10" s="13">
        <v>1</v>
      </c>
      <c r="B10" s="14"/>
      <c r="C10" s="14"/>
      <c r="D10" s="1"/>
      <c r="E10" s="25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  <c r="AX10" s="26"/>
      <c r="AY10" s="26"/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7"/>
      <c r="BM10">
        <f>IFERROR(VLOOKUP(BM$6,Hoja1!$F$2:$XFD$61,E10+4,FALSE),0)</f>
        <v>0</v>
      </c>
      <c r="BN10">
        <f>IFERROR(VLOOKUP(BN$6,Hoja1!$F$2:$XFD$61,F10+4,FALSE),0)</f>
        <v>0</v>
      </c>
      <c r="BO10">
        <f>IFERROR(VLOOKUP(BO$6,Hoja1!$F$2:$XFD$61,G10+4,FALSE),0)</f>
        <v>0</v>
      </c>
      <c r="BP10">
        <f>IFERROR(VLOOKUP(BP$6,Hoja1!$F$2:$XFD$61,H10+4,FALSE),0)</f>
        <v>0</v>
      </c>
      <c r="BQ10">
        <f>IFERROR(VLOOKUP(BQ$6,Hoja1!$F$2:$XFD$61,I10+4,FALSE),0)</f>
        <v>0</v>
      </c>
      <c r="BR10">
        <f>IFERROR(VLOOKUP(BR$6,Hoja1!$F$2:$XFD$61,J10+4,FALSE),0)</f>
        <v>0</v>
      </c>
      <c r="BS10">
        <f>IFERROR(VLOOKUP(BS$6,Hoja1!$F$2:$XFD$61,K10+4,FALSE),0)</f>
        <v>0</v>
      </c>
      <c r="BT10">
        <f>IFERROR(VLOOKUP(BT$6,Hoja1!$F$2:$XFD$61,L10+4,FALSE),0)</f>
        <v>0</v>
      </c>
      <c r="BU10">
        <f>IFERROR(VLOOKUP(BU$6,Hoja1!$F$2:$XFD$61,M10+4,FALSE),0)</f>
        <v>0</v>
      </c>
      <c r="BV10">
        <f>IFERROR(VLOOKUP(BV$6,Hoja1!$F$2:$XFD$61,N10+4,FALSE),0)</f>
        <v>0</v>
      </c>
      <c r="BW10">
        <f>IFERROR(VLOOKUP(BW$6,Hoja1!$F$2:$XFD$61,O10+4,FALSE),0)</f>
        <v>0</v>
      </c>
      <c r="BX10">
        <f>IFERROR(VLOOKUP(BX$6,Hoja1!$F$2:$XFD$61,P10+4,FALSE),0)</f>
        <v>0</v>
      </c>
      <c r="BY10">
        <f>IFERROR(VLOOKUP(BY$6,Hoja1!$F$2:$XFD$61,Q10+4,FALSE),0)</f>
        <v>0</v>
      </c>
      <c r="BZ10">
        <f>IFERROR(VLOOKUP(BZ$6,Hoja1!$F$2:$XFD$61,R10+4,FALSE),0)</f>
        <v>0</v>
      </c>
      <c r="CA10">
        <f>IFERROR(VLOOKUP(CA$6,Hoja1!$F$2:$XFD$61,S10+4,FALSE),0)</f>
        <v>0</v>
      </c>
      <c r="CB10">
        <f>IFERROR(VLOOKUP(CB$6,Hoja1!$F$2:$XFD$61,T10+4,FALSE),0)</f>
        <v>0</v>
      </c>
      <c r="CC10">
        <f>IFERROR(VLOOKUP(CC$6,Hoja1!$F$2:$XFD$61,U10+4,FALSE),0)</f>
        <v>0</v>
      </c>
      <c r="CD10">
        <f>IFERROR(VLOOKUP(CD$6,Hoja1!$F$2:$XFD$61,V10+4,FALSE),0)</f>
        <v>0</v>
      </c>
      <c r="CE10">
        <f>IFERROR(VLOOKUP(CE$6,Hoja1!$F$2:$XFD$61,W10+4,FALSE),0)</f>
        <v>0</v>
      </c>
      <c r="CF10">
        <f>IFERROR(VLOOKUP(CF$6,Hoja1!$F$2:$XFD$61,X10+4,FALSE),0)</f>
        <v>0</v>
      </c>
      <c r="CG10">
        <f>IFERROR(VLOOKUP(CG$6,Hoja1!$F$2:$XFD$61,Y10+4,FALSE),0)</f>
        <v>0</v>
      </c>
      <c r="CH10">
        <f>IFERROR(VLOOKUP(CH$6,Hoja1!$F$2:$XFD$61,Z10+4,FALSE),0)</f>
        <v>0</v>
      </c>
      <c r="CI10">
        <f>IFERROR(VLOOKUP(CI$6,Hoja1!$F$2:$XFD$61,AA10+4,FALSE),0)</f>
        <v>0</v>
      </c>
      <c r="CJ10">
        <f>IFERROR(VLOOKUP(CJ$6,Hoja1!$F$2:$XFD$61,AB10+4,FALSE),0)</f>
        <v>0</v>
      </c>
      <c r="CK10">
        <f>IFERROR(VLOOKUP(CK$6,Hoja1!$F$2:$XFD$61,AC10+4,FALSE),0)</f>
        <v>0</v>
      </c>
      <c r="CL10">
        <f>IFERROR(VLOOKUP(CL$6,Hoja1!$F$2:$XFD$61,AD10+4,FALSE),0)</f>
        <v>0</v>
      </c>
      <c r="CM10">
        <f>IFERROR(VLOOKUP(CM$6,Hoja1!$F$2:$XFD$61,AE10+4,FALSE),0)</f>
        <v>0</v>
      </c>
      <c r="CN10">
        <f>IFERROR(VLOOKUP(CN$6,Hoja1!$F$2:$XFD$61,AF10+4,FALSE),0)</f>
        <v>0</v>
      </c>
      <c r="CO10">
        <f>IFERROR(VLOOKUP(CO$6,Hoja1!$F$2:$XFD$61,AG10+4,FALSE),0)</f>
        <v>0</v>
      </c>
      <c r="CP10">
        <f>IFERROR(VLOOKUP(CP$6,Hoja1!$F$2:$XFD$61,AH10+4,FALSE),0)</f>
        <v>0</v>
      </c>
      <c r="CQ10">
        <f>IFERROR(VLOOKUP(CQ$6,Hoja1!$F$2:$XFD$61,AI10+4,FALSE),0)</f>
        <v>0</v>
      </c>
      <c r="CR10">
        <f>IFERROR(VLOOKUP(CR$6,Hoja1!$F$2:$XFD$61,AJ10+4,FALSE),0)</f>
        <v>0</v>
      </c>
      <c r="CS10">
        <f>IFERROR(VLOOKUP(CS$6,Hoja1!$F$2:$XFD$61,AK10+4,FALSE),0)</f>
        <v>0</v>
      </c>
      <c r="CT10">
        <f>IFERROR(VLOOKUP(CT$6,Hoja1!$F$2:$XFD$61,AL10+4,FALSE),0)</f>
        <v>0</v>
      </c>
      <c r="CU10">
        <f>IFERROR(VLOOKUP(CU$6,Hoja1!$F$2:$XFD$61,AM10+4,FALSE),0)</f>
        <v>0</v>
      </c>
      <c r="CV10">
        <f>IFERROR(VLOOKUP(CV$6,Hoja1!$F$2:$XFD$61,AN10+4,FALSE),0)</f>
        <v>0</v>
      </c>
      <c r="CW10">
        <f>IFERROR(VLOOKUP(CW$6,Hoja1!$F$2:$XFD$61,AO10+4,FALSE),0)</f>
        <v>0</v>
      </c>
      <c r="CX10">
        <f>IFERROR(VLOOKUP(CX$6,Hoja1!$F$2:$XFD$61,AP10+4,FALSE),0)</f>
        <v>0</v>
      </c>
      <c r="CY10">
        <f>IFERROR(VLOOKUP(CY$6,Hoja1!$F$2:$XFD$61,AQ10+4,FALSE),0)</f>
        <v>0</v>
      </c>
      <c r="CZ10">
        <f>IFERROR(VLOOKUP(CZ$6,Hoja1!$F$2:$XFD$61,AR10+4,FALSE),0)</f>
        <v>0</v>
      </c>
      <c r="DA10">
        <f>IFERROR(VLOOKUP(DA$6,Hoja1!$F$2:$XFD$61,AS10+4,FALSE),0)</f>
        <v>0</v>
      </c>
      <c r="DB10">
        <f>IFERROR(VLOOKUP(DB$6,Hoja1!$F$2:$XFD$61,AT10+4,FALSE),0)</f>
        <v>0</v>
      </c>
      <c r="DC10">
        <f>IFERROR(VLOOKUP(DC$6,Hoja1!$F$2:$XFD$61,AU10+4,FALSE),0)</f>
        <v>0</v>
      </c>
      <c r="DD10">
        <f>IFERROR(VLOOKUP(DD$6,Hoja1!$F$2:$XFD$61,AV10+4,FALSE),0)</f>
        <v>0</v>
      </c>
      <c r="DE10">
        <f>IFERROR(VLOOKUP(DE$6,Hoja1!$F$2:$XFD$61,AW10+4,FALSE),0)</f>
        <v>0</v>
      </c>
      <c r="DF10">
        <f>IFERROR(VLOOKUP(DF$6,Hoja1!$F$2:$XFD$61,AX10+4,FALSE),0)</f>
        <v>0</v>
      </c>
      <c r="DG10">
        <f>IFERROR(VLOOKUP(DG$6,Hoja1!$F$2:$XFD$61,AY10+4,FALSE),0)</f>
        <v>0</v>
      </c>
      <c r="DH10">
        <f>IFERROR(VLOOKUP(DH$6,Hoja1!$F$2:$XFD$61,AZ10+4,FALSE),0)</f>
        <v>0</v>
      </c>
      <c r="DI10">
        <f>IFERROR(VLOOKUP(DI$6,Hoja1!$F$2:$XFD$61,BA10+4,FALSE),0)</f>
        <v>0</v>
      </c>
      <c r="DJ10">
        <f>IFERROR(VLOOKUP(DJ$6,Hoja1!$F$2:$XFD$61,BB10+4,FALSE),0)</f>
        <v>0</v>
      </c>
      <c r="DK10">
        <f>IFERROR(VLOOKUP(DK$6,Hoja1!$F$2:$XFD$61,BC10+4,FALSE),0)</f>
        <v>0</v>
      </c>
      <c r="DL10">
        <f>IFERROR(VLOOKUP(DL$6,Hoja1!$F$2:$XFD$61,BD10+4,FALSE),0)</f>
        <v>0</v>
      </c>
      <c r="DM10">
        <f>IFERROR(VLOOKUP(DM$6,Hoja1!$F$2:$XFD$61,BE10+4,FALSE),0)</f>
        <v>0</v>
      </c>
      <c r="DN10">
        <f>IFERROR(VLOOKUP(DN$6,Hoja1!$F$2:$XFD$61,BF10+4,FALSE),0)</f>
        <v>0</v>
      </c>
      <c r="DO10">
        <f>IFERROR(VLOOKUP(DO$6,Hoja1!$F$2:$XFD$61,BG10+4,FALSE),0)</f>
        <v>0</v>
      </c>
      <c r="DP10">
        <f>IFERROR(VLOOKUP(DP$6,Hoja1!$F$2:$XFD$61,BH10+4,FALSE),0)</f>
        <v>0</v>
      </c>
      <c r="DQ10">
        <f>IFERROR(VLOOKUP(DQ$6,Hoja1!$F$2:$XFD$61,BI10+4,FALSE),0)</f>
        <v>0</v>
      </c>
      <c r="DR10">
        <f>IFERROR(VLOOKUP(DR$6,Hoja1!$F$2:$XFD$61,BJ10+4,FALSE),0)</f>
        <v>0</v>
      </c>
      <c r="DS10">
        <f>IFERROR(VLOOKUP(DS$6,Hoja1!$F$2:$XFD$61,BK10+4,FALSE),0)</f>
        <v>0</v>
      </c>
      <c r="DT10">
        <f>IFERROR(VLOOKUP(DT$6,Hoja1!$F$2:$XFD$61,BL10+4,FALSE),0)</f>
        <v>0</v>
      </c>
      <c r="DU10" s="15" t="str">
        <f>IF(COUNT(E10:BL10)=$DV$7,IF(D10="","indique grupo",SUM(BM10:DT10)),"")</f>
        <v/>
      </c>
      <c r="DV10" s="16" t="str">
        <f>IF(D10&lt;&gt;"",IF(DU10="","",IF(DU10&gt;=$DU$7*Hoja1!$E$2,4+3/($DU$7*(1-Hoja1!$E$2))*(DU10-$DU$7*Hoja1!$E$2),1+3/($DU$7*Hoja1!$E$2)*DU10)),DU10)</f>
        <v/>
      </c>
      <c r="DW10" s="49" t="b">
        <v>0</v>
      </c>
    </row>
    <row r="11" spans="1:129" ht="23.25" customHeight="1" x14ac:dyDescent="0.25">
      <c r="A11" s="17">
        <v>2</v>
      </c>
      <c r="B11" s="18"/>
      <c r="C11" s="18"/>
      <c r="D11" s="1"/>
      <c r="E11" s="28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29"/>
      <c r="BM11">
        <f>IFERROR(VLOOKUP(BM$6,Hoja1!$F$2:$XFD$61,E11+4,FALSE),0)</f>
        <v>0</v>
      </c>
      <c r="BN11">
        <f>IFERROR(VLOOKUP(BN$6,Hoja1!$F$2:$XFD$61,F11+4,FALSE),0)</f>
        <v>0</v>
      </c>
      <c r="BO11">
        <f>IFERROR(VLOOKUP(BO$6,Hoja1!$F$2:$XFD$61,G11+4,FALSE),0)</f>
        <v>0</v>
      </c>
      <c r="BP11">
        <f>IFERROR(VLOOKUP(BP$6,Hoja1!$F$2:$XFD$61,H11+4,FALSE),0)</f>
        <v>0</v>
      </c>
      <c r="BQ11">
        <f>IFERROR(VLOOKUP(BQ$6,Hoja1!$F$2:$XFD$61,I11+4,FALSE),0)</f>
        <v>0</v>
      </c>
      <c r="BR11">
        <f>IFERROR(VLOOKUP(BR$6,Hoja1!$F$2:$XFD$61,J11+4,FALSE),0)</f>
        <v>0</v>
      </c>
      <c r="BS11">
        <f>IFERROR(VLOOKUP(BS$6,Hoja1!$F$2:$XFD$61,K11+4,FALSE),0)</f>
        <v>0</v>
      </c>
      <c r="BT11">
        <f>IFERROR(VLOOKUP(BT$6,Hoja1!$F$2:$XFD$61,L11+4,FALSE),0)</f>
        <v>0</v>
      </c>
      <c r="BU11">
        <f>IFERROR(VLOOKUP(BU$6,Hoja1!$F$2:$XFD$61,M11+4,FALSE),0)</f>
        <v>0</v>
      </c>
      <c r="BV11">
        <f>IFERROR(VLOOKUP(BV$6,Hoja1!$F$2:$XFD$61,N11+4,FALSE),0)</f>
        <v>0</v>
      </c>
      <c r="BW11">
        <f>IFERROR(VLOOKUP(BW$6,Hoja1!$F$2:$XFD$61,O11+4,FALSE),0)</f>
        <v>0</v>
      </c>
      <c r="BX11">
        <f>IFERROR(VLOOKUP(BX$6,Hoja1!$F$2:$XFD$61,P11+4,FALSE),0)</f>
        <v>0</v>
      </c>
      <c r="BY11">
        <f>IFERROR(VLOOKUP(BY$6,Hoja1!$F$2:$XFD$61,Q11+4,FALSE),0)</f>
        <v>0</v>
      </c>
      <c r="BZ11">
        <f>IFERROR(VLOOKUP(BZ$6,Hoja1!$F$2:$XFD$61,R11+4,FALSE),0)</f>
        <v>0</v>
      </c>
      <c r="CA11">
        <f>IFERROR(VLOOKUP(CA$6,Hoja1!$F$2:$XFD$61,S11+4,FALSE),0)</f>
        <v>0</v>
      </c>
      <c r="CB11">
        <f>IFERROR(VLOOKUP(CB$6,Hoja1!$F$2:$XFD$61,T11+4,FALSE),0)</f>
        <v>0</v>
      </c>
      <c r="CC11">
        <f>IFERROR(VLOOKUP(CC$6,Hoja1!$F$2:$XFD$61,U11+4,FALSE),0)</f>
        <v>0</v>
      </c>
      <c r="CD11">
        <f>IFERROR(VLOOKUP(CD$6,Hoja1!$F$2:$XFD$61,V11+4,FALSE),0)</f>
        <v>0</v>
      </c>
      <c r="CE11">
        <f>IFERROR(VLOOKUP(CE$6,Hoja1!$F$2:$XFD$61,W11+4,FALSE),0)</f>
        <v>0</v>
      </c>
      <c r="CF11">
        <f>IFERROR(VLOOKUP(CF$6,Hoja1!$F$2:$XFD$61,X11+4,FALSE),0)</f>
        <v>0</v>
      </c>
      <c r="CG11">
        <f>IFERROR(VLOOKUP(CG$6,Hoja1!$F$2:$XFD$61,Y11+4,FALSE),0)</f>
        <v>0</v>
      </c>
      <c r="CH11">
        <f>IFERROR(VLOOKUP(CH$6,Hoja1!$F$2:$XFD$61,Z11+4,FALSE),0)</f>
        <v>0</v>
      </c>
      <c r="CI11">
        <f>IFERROR(VLOOKUP(CI$6,Hoja1!$F$2:$XFD$61,AA11+4,FALSE),0)</f>
        <v>0</v>
      </c>
      <c r="CJ11">
        <f>IFERROR(VLOOKUP(CJ$6,Hoja1!$F$2:$XFD$61,AB11+4,FALSE),0)</f>
        <v>0</v>
      </c>
      <c r="CK11">
        <f>IFERROR(VLOOKUP(CK$6,Hoja1!$F$2:$XFD$61,AC11+4,FALSE),0)</f>
        <v>0</v>
      </c>
      <c r="CL11">
        <f>IFERROR(VLOOKUP(CL$6,Hoja1!$F$2:$XFD$61,AD11+4,FALSE),0)</f>
        <v>0</v>
      </c>
      <c r="CM11">
        <f>IFERROR(VLOOKUP(CM$6,Hoja1!$F$2:$XFD$61,AE11+4,FALSE),0)</f>
        <v>0</v>
      </c>
      <c r="CN11">
        <f>IFERROR(VLOOKUP(CN$6,Hoja1!$F$2:$XFD$61,AF11+4,FALSE),0)</f>
        <v>0</v>
      </c>
      <c r="CO11">
        <f>IFERROR(VLOOKUP(CO$6,Hoja1!$F$2:$XFD$61,AG11+4,FALSE),0)</f>
        <v>0</v>
      </c>
      <c r="CP11">
        <f>IFERROR(VLOOKUP(CP$6,Hoja1!$F$2:$XFD$61,AH11+4,FALSE),0)</f>
        <v>0</v>
      </c>
      <c r="CQ11">
        <f>IFERROR(VLOOKUP(CQ$6,Hoja1!$F$2:$XFD$61,AI11+4,FALSE),0)</f>
        <v>0</v>
      </c>
      <c r="CR11">
        <f>IFERROR(VLOOKUP(CR$6,Hoja1!$F$2:$XFD$61,AJ11+4,FALSE),0)</f>
        <v>0</v>
      </c>
      <c r="CS11">
        <f>IFERROR(VLOOKUP(CS$6,Hoja1!$F$2:$XFD$61,AK11+4,FALSE),0)</f>
        <v>0</v>
      </c>
      <c r="CT11">
        <f>IFERROR(VLOOKUP(CT$6,Hoja1!$F$2:$XFD$61,AL11+4,FALSE),0)</f>
        <v>0</v>
      </c>
      <c r="CU11">
        <f>IFERROR(VLOOKUP(CU$6,Hoja1!$F$2:$XFD$61,AM11+4,FALSE),0)</f>
        <v>0</v>
      </c>
      <c r="CV11">
        <f>IFERROR(VLOOKUP(CV$6,Hoja1!$F$2:$XFD$61,AN11+4,FALSE),0)</f>
        <v>0</v>
      </c>
      <c r="CW11">
        <f>IFERROR(VLOOKUP(CW$6,Hoja1!$F$2:$XFD$61,AO11+4,FALSE),0)</f>
        <v>0</v>
      </c>
      <c r="CX11">
        <f>IFERROR(VLOOKUP(CX$6,Hoja1!$F$2:$XFD$61,AP11+4,FALSE),0)</f>
        <v>0</v>
      </c>
      <c r="CY11">
        <f>IFERROR(VLOOKUP(CY$6,Hoja1!$F$2:$XFD$61,AQ11+4,FALSE),0)</f>
        <v>0</v>
      </c>
      <c r="CZ11">
        <f>IFERROR(VLOOKUP(CZ$6,Hoja1!$F$2:$XFD$61,AR11+4,FALSE),0)</f>
        <v>0</v>
      </c>
      <c r="DA11">
        <f>IFERROR(VLOOKUP(DA$6,Hoja1!$F$2:$XFD$61,AS11+4,FALSE),0)</f>
        <v>0</v>
      </c>
      <c r="DB11">
        <f>IFERROR(VLOOKUP(DB$6,Hoja1!$F$2:$XFD$61,AT11+4,FALSE),0)</f>
        <v>0</v>
      </c>
      <c r="DC11">
        <f>IFERROR(VLOOKUP(DC$6,Hoja1!$F$2:$XFD$61,AU11+4,FALSE),0)</f>
        <v>0</v>
      </c>
      <c r="DD11">
        <f>IFERROR(VLOOKUP(DD$6,Hoja1!$F$2:$XFD$61,AV11+4,FALSE),0)</f>
        <v>0</v>
      </c>
      <c r="DE11">
        <f>IFERROR(VLOOKUP(DE$6,Hoja1!$F$2:$XFD$61,AW11+4,FALSE),0)</f>
        <v>0</v>
      </c>
      <c r="DF11">
        <f>IFERROR(VLOOKUP(DF$6,Hoja1!$F$2:$XFD$61,AX11+4,FALSE),0)</f>
        <v>0</v>
      </c>
      <c r="DG11">
        <f>IFERROR(VLOOKUP(DG$6,Hoja1!$F$2:$XFD$61,AY11+4,FALSE),0)</f>
        <v>0</v>
      </c>
      <c r="DH11">
        <f>IFERROR(VLOOKUP(DH$6,Hoja1!$F$2:$XFD$61,AZ11+4,FALSE),0)</f>
        <v>0</v>
      </c>
      <c r="DI11">
        <f>IFERROR(VLOOKUP(DI$6,Hoja1!$F$2:$XFD$61,BA11+4,FALSE),0)</f>
        <v>0</v>
      </c>
      <c r="DJ11">
        <f>IFERROR(VLOOKUP(DJ$6,Hoja1!$F$2:$XFD$61,BB11+4,FALSE),0)</f>
        <v>0</v>
      </c>
      <c r="DK11">
        <f>IFERROR(VLOOKUP(DK$6,Hoja1!$F$2:$XFD$61,BC11+4,FALSE),0)</f>
        <v>0</v>
      </c>
      <c r="DL11">
        <f>IFERROR(VLOOKUP(DL$6,Hoja1!$F$2:$XFD$61,BD11+4,FALSE),0)</f>
        <v>0</v>
      </c>
      <c r="DM11">
        <f>IFERROR(VLOOKUP(DM$6,Hoja1!$F$2:$XFD$61,BE11+4,FALSE),0)</f>
        <v>0</v>
      </c>
      <c r="DN11">
        <f>IFERROR(VLOOKUP(DN$6,Hoja1!$F$2:$XFD$61,BF11+4,FALSE),0)</f>
        <v>0</v>
      </c>
      <c r="DO11">
        <f>IFERROR(VLOOKUP(DO$6,Hoja1!$F$2:$XFD$61,BG11+4,FALSE),0)</f>
        <v>0</v>
      </c>
      <c r="DP11">
        <f>IFERROR(VLOOKUP(DP$6,Hoja1!$F$2:$XFD$61,BH11+4,FALSE),0)</f>
        <v>0</v>
      </c>
      <c r="DQ11">
        <f>IFERROR(VLOOKUP(DQ$6,Hoja1!$F$2:$XFD$61,BI11+4,FALSE),0)</f>
        <v>0</v>
      </c>
      <c r="DR11">
        <f>IFERROR(VLOOKUP(DR$6,Hoja1!$F$2:$XFD$61,BJ11+4,FALSE),0)</f>
        <v>0</v>
      </c>
      <c r="DS11">
        <f>IFERROR(VLOOKUP(DS$6,Hoja1!$F$2:$XFD$61,BK11+4,FALSE),0)</f>
        <v>0</v>
      </c>
      <c r="DT11">
        <f>IFERROR(VLOOKUP(DT$6,Hoja1!$F$2:$XFD$61,BL11+4,FALSE),0)</f>
        <v>0</v>
      </c>
      <c r="DU11" s="15" t="str">
        <f t="shared" ref="DU11:DU69" si="0">IF(COUNT(E11:BL11)=$DV$7,IF(D11="","indique grupo",SUM(BM11:DT11)),"")</f>
        <v/>
      </c>
      <c r="DV11" s="16" t="str">
        <f>IF(D11&lt;&gt;"",IF(DU11="","",IF(DU11&gt;=$DU$7*Hoja1!$E$2,4+3/($DU$7*(1-Hoja1!$E$2))*(DU11-$DU$7*Hoja1!$E$2),1+3/($DU$7*Hoja1!$E$2)*DU11)),DU11)</f>
        <v/>
      </c>
      <c r="DW11" s="47" t="b">
        <v>0</v>
      </c>
    </row>
    <row r="12" spans="1:129" ht="23.25" customHeight="1" x14ac:dyDescent="0.25">
      <c r="A12" s="17">
        <v>3</v>
      </c>
      <c r="B12" s="14"/>
      <c r="C12" s="14"/>
      <c r="D12" s="1"/>
      <c r="E12" s="28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29"/>
      <c r="BM12">
        <f>IFERROR(VLOOKUP(BM$6,Hoja1!$F$2:$XFD$61,E12+4,FALSE),0)</f>
        <v>0</v>
      </c>
      <c r="BN12">
        <f>IFERROR(VLOOKUP(BN$6,Hoja1!$F$2:$XFD$61,F12+4,FALSE),0)</f>
        <v>0</v>
      </c>
      <c r="BO12">
        <f>IFERROR(VLOOKUP(BO$6,Hoja1!$F$2:$XFD$61,G12+4,FALSE),0)</f>
        <v>0</v>
      </c>
      <c r="BP12">
        <f>IFERROR(VLOOKUP(BP$6,Hoja1!$F$2:$XFD$61,H12+4,FALSE),0)</f>
        <v>0</v>
      </c>
      <c r="BQ12">
        <f>IFERROR(VLOOKUP(BQ$6,Hoja1!$F$2:$XFD$61,I12+4,FALSE),0)</f>
        <v>0</v>
      </c>
      <c r="BR12">
        <f>IFERROR(VLOOKUP(BR$6,Hoja1!$F$2:$XFD$61,J12+4,FALSE),0)</f>
        <v>0</v>
      </c>
      <c r="BS12">
        <f>IFERROR(VLOOKUP(BS$6,Hoja1!$F$2:$XFD$61,K12+4,FALSE),0)</f>
        <v>0</v>
      </c>
      <c r="BT12">
        <f>IFERROR(VLOOKUP(BT$6,Hoja1!$F$2:$XFD$61,L12+4,FALSE),0)</f>
        <v>0</v>
      </c>
      <c r="BU12">
        <f>IFERROR(VLOOKUP(BU$6,Hoja1!$F$2:$XFD$61,M12+4,FALSE),0)</f>
        <v>0</v>
      </c>
      <c r="BV12">
        <f>IFERROR(VLOOKUP(BV$6,Hoja1!$F$2:$XFD$61,N12+4,FALSE),0)</f>
        <v>0</v>
      </c>
      <c r="BW12">
        <f>IFERROR(VLOOKUP(BW$6,Hoja1!$F$2:$XFD$61,O12+4,FALSE),0)</f>
        <v>0</v>
      </c>
      <c r="BX12">
        <f>IFERROR(VLOOKUP(BX$6,Hoja1!$F$2:$XFD$61,P12+4,FALSE),0)</f>
        <v>0</v>
      </c>
      <c r="BY12">
        <f>IFERROR(VLOOKUP(BY$6,Hoja1!$F$2:$XFD$61,Q12+4,FALSE),0)</f>
        <v>0</v>
      </c>
      <c r="BZ12">
        <f>IFERROR(VLOOKUP(BZ$6,Hoja1!$F$2:$XFD$61,R12+4,FALSE),0)</f>
        <v>0</v>
      </c>
      <c r="CA12">
        <f>IFERROR(VLOOKUP(CA$6,Hoja1!$F$2:$XFD$61,S12+4,FALSE),0)</f>
        <v>0</v>
      </c>
      <c r="CB12">
        <f>IFERROR(VLOOKUP(CB$6,Hoja1!$F$2:$XFD$61,T12+4,FALSE),0)</f>
        <v>0</v>
      </c>
      <c r="CC12">
        <f>IFERROR(VLOOKUP(CC$6,Hoja1!$F$2:$XFD$61,U12+4,FALSE),0)</f>
        <v>0</v>
      </c>
      <c r="CD12">
        <f>IFERROR(VLOOKUP(CD$6,Hoja1!$F$2:$XFD$61,V12+4,FALSE),0)</f>
        <v>0</v>
      </c>
      <c r="CE12">
        <f>IFERROR(VLOOKUP(CE$6,Hoja1!$F$2:$XFD$61,W12+4,FALSE),0)</f>
        <v>0</v>
      </c>
      <c r="CF12">
        <f>IFERROR(VLOOKUP(CF$6,Hoja1!$F$2:$XFD$61,X12+4,FALSE),0)</f>
        <v>0</v>
      </c>
      <c r="CG12">
        <f>IFERROR(VLOOKUP(CG$6,Hoja1!$F$2:$XFD$61,Y12+4,FALSE),0)</f>
        <v>0</v>
      </c>
      <c r="CH12">
        <f>IFERROR(VLOOKUP(CH$6,Hoja1!$F$2:$XFD$61,Z12+4,FALSE),0)</f>
        <v>0</v>
      </c>
      <c r="CI12">
        <f>IFERROR(VLOOKUP(CI$6,Hoja1!$F$2:$XFD$61,AA12+4,FALSE),0)</f>
        <v>0</v>
      </c>
      <c r="CJ12">
        <f>IFERROR(VLOOKUP(CJ$6,Hoja1!$F$2:$XFD$61,AB12+4,FALSE),0)</f>
        <v>0</v>
      </c>
      <c r="CK12">
        <f>IFERROR(VLOOKUP(CK$6,Hoja1!$F$2:$XFD$61,AC12+4,FALSE),0)</f>
        <v>0</v>
      </c>
      <c r="CL12">
        <f>IFERROR(VLOOKUP(CL$6,Hoja1!$F$2:$XFD$61,AD12+4,FALSE),0)</f>
        <v>0</v>
      </c>
      <c r="CM12">
        <f>IFERROR(VLOOKUP(CM$6,Hoja1!$F$2:$XFD$61,AE12+4,FALSE),0)</f>
        <v>0</v>
      </c>
      <c r="CN12">
        <f>IFERROR(VLOOKUP(CN$6,Hoja1!$F$2:$XFD$61,AF12+4,FALSE),0)</f>
        <v>0</v>
      </c>
      <c r="CO12">
        <f>IFERROR(VLOOKUP(CO$6,Hoja1!$F$2:$XFD$61,AG12+4,FALSE),0)</f>
        <v>0</v>
      </c>
      <c r="CP12">
        <f>IFERROR(VLOOKUP(CP$6,Hoja1!$F$2:$XFD$61,AH12+4,FALSE),0)</f>
        <v>0</v>
      </c>
      <c r="CQ12">
        <f>IFERROR(VLOOKUP(CQ$6,Hoja1!$F$2:$XFD$61,AI12+4,FALSE),0)</f>
        <v>0</v>
      </c>
      <c r="CR12">
        <f>IFERROR(VLOOKUP(CR$6,Hoja1!$F$2:$XFD$61,AJ12+4,FALSE),0)</f>
        <v>0</v>
      </c>
      <c r="CS12">
        <f>IFERROR(VLOOKUP(CS$6,Hoja1!$F$2:$XFD$61,AK12+4,FALSE),0)</f>
        <v>0</v>
      </c>
      <c r="CT12">
        <f>IFERROR(VLOOKUP(CT$6,Hoja1!$F$2:$XFD$61,AL12+4,FALSE),0)</f>
        <v>0</v>
      </c>
      <c r="CU12">
        <f>IFERROR(VLOOKUP(CU$6,Hoja1!$F$2:$XFD$61,AM12+4,FALSE),0)</f>
        <v>0</v>
      </c>
      <c r="CV12">
        <f>IFERROR(VLOOKUP(CV$6,Hoja1!$F$2:$XFD$61,AN12+4,FALSE),0)</f>
        <v>0</v>
      </c>
      <c r="CW12">
        <f>IFERROR(VLOOKUP(CW$6,Hoja1!$F$2:$XFD$61,AO12+4,FALSE),0)</f>
        <v>0</v>
      </c>
      <c r="CX12">
        <f>IFERROR(VLOOKUP(CX$6,Hoja1!$F$2:$XFD$61,AP12+4,FALSE),0)</f>
        <v>0</v>
      </c>
      <c r="CY12">
        <f>IFERROR(VLOOKUP(CY$6,Hoja1!$F$2:$XFD$61,AQ12+4,FALSE),0)</f>
        <v>0</v>
      </c>
      <c r="CZ12">
        <f>IFERROR(VLOOKUP(CZ$6,Hoja1!$F$2:$XFD$61,AR12+4,FALSE),0)</f>
        <v>0</v>
      </c>
      <c r="DA12">
        <f>IFERROR(VLOOKUP(DA$6,Hoja1!$F$2:$XFD$61,AS12+4,FALSE),0)</f>
        <v>0</v>
      </c>
      <c r="DB12">
        <f>IFERROR(VLOOKUP(DB$6,Hoja1!$F$2:$XFD$61,AT12+4,FALSE),0)</f>
        <v>0</v>
      </c>
      <c r="DC12">
        <f>IFERROR(VLOOKUP(DC$6,Hoja1!$F$2:$XFD$61,AU12+4,FALSE),0)</f>
        <v>0</v>
      </c>
      <c r="DD12">
        <f>IFERROR(VLOOKUP(DD$6,Hoja1!$F$2:$XFD$61,AV12+4,FALSE),0)</f>
        <v>0</v>
      </c>
      <c r="DE12">
        <f>IFERROR(VLOOKUP(DE$6,Hoja1!$F$2:$XFD$61,AW12+4,FALSE),0)</f>
        <v>0</v>
      </c>
      <c r="DF12">
        <f>IFERROR(VLOOKUP(DF$6,Hoja1!$F$2:$XFD$61,AX12+4,FALSE),0)</f>
        <v>0</v>
      </c>
      <c r="DG12">
        <f>IFERROR(VLOOKUP(DG$6,Hoja1!$F$2:$XFD$61,AY12+4,FALSE),0)</f>
        <v>0</v>
      </c>
      <c r="DH12">
        <f>IFERROR(VLOOKUP(DH$6,Hoja1!$F$2:$XFD$61,AZ12+4,FALSE),0)</f>
        <v>0</v>
      </c>
      <c r="DI12">
        <f>IFERROR(VLOOKUP(DI$6,Hoja1!$F$2:$XFD$61,BA12+4,FALSE),0)</f>
        <v>0</v>
      </c>
      <c r="DJ12">
        <f>IFERROR(VLOOKUP(DJ$6,Hoja1!$F$2:$XFD$61,BB12+4,FALSE),0)</f>
        <v>0</v>
      </c>
      <c r="DK12">
        <f>IFERROR(VLOOKUP(DK$6,Hoja1!$F$2:$XFD$61,BC12+4,FALSE),0)</f>
        <v>0</v>
      </c>
      <c r="DL12">
        <f>IFERROR(VLOOKUP(DL$6,Hoja1!$F$2:$XFD$61,BD12+4,FALSE),0)</f>
        <v>0</v>
      </c>
      <c r="DM12">
        <f>IFERROR(VLOOKUP(DM$6,Hoja1!$F$2:$XFD$61,BE12+4,FALSE),0)</f>
        <v>0</v>
      </c>
      <c r="DN12">
        <f>IFERROR(VLOOKUP(DN$6,Hoja1!$F$2:$XFD$61,BF12+4,FALSE),0)</f>
        <v>0</v>
      </c>
      <c r="DO12">
        <f>IFERROR(VLOOKUP(DO$6,Hoja1!$F$2:$XFD$61,BG12+4,FALSE),0)</f>
        <v>0</v>
      </c>
      <c r="DP12">
        <f>IFERROR(VLOOKUP(DP$6,Hoja1!$F$2:$XFD$61,BH12+4,FALSE),0)</f>
        <v>0</v>
      </c>
      <c r="DQ12">
        <f>IFERROR(VLOOKUP(DQ$6,Hoja1!$F$2:$XFD$61,BI12+4,FALSE),0)</f>
        <v>0</v>
      </c>
      <c r="DR12">
        <f>IFERROR(VLOOKUP(DR$6,Hoja1!$F$2:$XFD$61,BJ12+4,FALSE),0)</f>
        <v>0</v>
      </c>
      <c r="DS12">
        <f>IFERROR(VLOOKUP(DS$6,Hoja1!$F$2:$XFD$61,BK12+4,FALSE),0)</f>
        <v>0</v>
      </c>
      <c r="DT12">
        <f>IFERROR(VLOOKUP(DT$6,Hoja1!$F$2:$XFD$61,BL12+4,FALSE),0)</f>
        <v>0</v>
      </c>
      <c r="DU12" s="15" t="str">
        <f t="shared" si="0"/>
        <v/>
      </c>
      <c r="DV12" s="16" t="str">
        <f>IF(D12&lt;&gt;"",IF(DU12="","",IF(DU12&gt;=$DU$7*Hoja1!$E$2,4+3/($DU$7*(1-Hoja1!$E$2))*(DU12-$DU$7*Hoja1!$E$2),1+3/($DU$7*Hoja1!$E$2)*DU12)),DU12)</f>
        <v/>
      </c>
      <c r="DW12" s="47" t="b">
        <v>0</v>
      </c>
    </row>
    <row r="13" spans="1:129" ht="23.25" customHeight="1" x14ac:dyDescent="0.25">
      <c r="A13" s="17">
        <v>4</v>
      </c>
      <c r="B13" s="18"/>
      <c r="C13" s="18"/>
      <c r="D13" s="1"/>
      <c r="E13" s="28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29"/>
      <c r="BM13">
        <f>IFERROR(VLOOKUP(BM$6,Hoja1!$F$2:$XFD$61,E13+4,FALSE),0)</f>
        <v>0</v>
      </c>
      <c r="BN13">
        <f>IFERROR(VLOOKUP(BN$6,Hoja1!$F$2:$XFD$61,F13+4,FALSE),0)</f>
        <v>0</v>
      </c>
      <c r="BO13">
        <f>IFERROR(VLOOKUP(BO$6,Hoja1!$F$2:$XFD$61,G13+4,FALSE),0)</f>
        <v>0</v>
      </c>
      <c r="BP13">
        <f>IFERROR(VLOOKUP(BP$6,Hoja1!$F$2:$XFD$61,H13+4,FALSE),0)</f>
        <v>0</v>
      </c>
      <c r="BQ13">
        <f>IFERROR(VLOOKUP(BQ$6,Hoja1!$F$2:$XFD$61,I13+4,FALSE),0)</f>
        <v>0</v>
      </c>
      <c r="BR13">
        <f>IFERROR(VLOOKUP(BR$6,Hoja1!$F$2:$XFD$61,J13+4,FALSE),0)</f>
        <v>0</v>
      </c>
      <c r="BS13">
        <f>IFERROR(VLOOKUP(BS$6,Hoja1!$F$2:$XFD$61,K13+4,FALSE),0)</f>
        <v>0</v>
      </c>
      <c r="BT13">
        <f>IFERROR(VLOOKUP(BT$6,Hoja1!$F$2:$XFD$61,L13+4,FALSE),0)</f>
        <v>0</v>
      </c>
      <c r="BU13">
        <f>IFERROR(VLOOKUP(BU$6,Hoja1!$F$2:$XFD$61,M13+4,FALSE),0)</f>
        <v>0</v>
      </c>
      <c r="BV13">
        <f>IFERROR(VLOOKUP(BV$6,Hoja1!$F$2:$XFD$61,N13+4,FALSE),0)</f>
        <v>0</v>
      </c>
      <c r="BW13">
        <f>IFERROR(VLOOKUP(BW$6,Hoja1!$F$2:$XFD$61,O13+4,FALSE),0)</f>
        <v>0</v>
      </c>
      <c r="BX13">
        <f>IFERROR(VLOOKUP(BX$6,Hoja1!$F$2:$XFD$61,P13+4,FALSE),0)</f>
        <v>0</v>
      </c>
      <c r="BY13">
        <f>IFERROR(VLOOKUP(BY$6,Hoja1!$F$2:$XFD$61,Q13+4,FALSE),0)</f>
        <v>0</v>
      </c>
      <c r="BZ13">
        <f>IFERROR(VLOOKUP(BZ$6,Hoja1!$F$2:$XFD$61,R13+4,FALSE),0)</f>
        <v>0</v>
      </c>
      <c r="CA13">
        <f>IFERROR(VLOOKUP(CA$6,Hoja1!$F$2:$XFD$61,S13+4,FALSE),0)</f>
        <v>0</v>
      </c>
      <c r="CB13">
        <f>IFERROR(VLOOKUP(CB$6,Hoja1!$F$2:$XFD$61,T13+4,FALSE),0)</f>
        <v>0</v>
      </c>
      <c r="CC13">
        <f>IFERROR(VLOOKUP(CC$6,Hoja1!$F$2:$XFD$61,U13+4,FALSE),0)</f>
        <v>0</v>
      </c>
      <c r="CD13">
        <f>IFERROR(VLOOKUP(CD$6,Hoja1!$F$2:$XFD$61,V13+4,FALSE),0)</f>
        <v>0</v>
      </c>
      <c r="CE13">
        <f>IFERROR(VLOOKUP(CE$6,Hoja1!$F$2:$XFD$61,W13+4,FALSE),0)</f>
        <v>0</v>
      </c>
      <c r="CF13">
        <f>IFERROR(VLOOKUP(CF$6,Hoja1!$F$2:$XFD$61,X13+4,FALSE),0)</f>
        <v>0</v>
      </c>
      <c r="CG13">
        <f>IFERROR(VLOOKUP(CG$6,Hoja1!$F$2:$XFD$61,Y13+4,FALSE),0)</f>
        <v>0</v>
      </c>
      <c r="CH13">
        <f>IFERROR(VLOOKUP(CH$6,Hoja1!$F$2:$XFD$61,Z13+4,FALSE),0)</f>
        <v>0</v>
      </c>
      <c r="CI13">
        <f>IFERROR(VLOOKUP(CI$6,Hoja1!$F$2:$XFD$61,AA13+4,FALSE),0)</f>
        <v>0</v>
      </c>
      <c r="CJ13">
        <f>IFERROR(VLOOKUP(CJ$6,Hoja1!$F$2:$XFD$61,AB13+4,FALSE),0)</f>
        <v>0</v>
      </c>
      <c r="CK13">
        <f>IFERROR(VLOOKUP(CK$6,Hoja1!$F$2:$XFD$61,AC13+4,FALSE),0)</f>
        <v>0</v>
      </c>
      <c r="CL13">
        <f>IFERROR(VLOOKUP(CL$6,Hoja1!$F$2:$XFD$61,AD13+4,FALSE),0)</f>
        <v>0</v>
      </c>
      <c r="CM13">
        <f>IFERROR(VLOOKUP(CM$6,Hoja1!$F$2:$XFD$61,AE13+4,FALSE),0)</f>
        <v>0</v>
      </c>
      <c r="CN13">
        <f>IFERROR(VLOOKUP(CN$6,Hoja1!$F$2:$XFD$61,AF13+4,FALSE),0)</f>
        <v>0</v>
      </c>
      <c r="CO13">
        <f>IFERROR(VLOOKUP(CO$6,Hoja1!$F$2:$XFD$61,AG13+4,FALSE),0)</f>
        <v>0</v>
      </c>
      <c r="CP13">
        <f>IFERROR(VLOOKUP(CP$6,Hoja1!$F$2:$XFD$61,AH13+4,FALSE),0)</f>
        <v>0</v>
      </c>
      <c r="CQ13">
        <f>IFERROR(VLOOKUP(CQ$6,Hoja1!$F$2:$XFD$61,AI13+4,FALSE),0)</f>
        <v>0</v>
      </c>
      <c r="CR13">
        <f>IFERROR(VLOOKUP(CR$6,Hoja1!$F$2:$XFD$61,AJ13+4,FALSE),0)</f>
        <v>0</v>
      </c>
      <c r="CS13">
        <f>IFERROR(VLOOKUP(CS$6,Hoja1!$F$2:$XFD$61,AK13+4,FALSE),0)</f>
        <v>0</v>
      </c>
      <c r="CT13">
        <f>IFERROR(VLOOKUP(CT$6,Hoja1!$F$2:$XFD$61,AL13+4,FALSE),0)</f>
        <v>0</v>
      </c>
      <c r="CU13">
        <f>IFERROR(VLOOKUP(CU$6,Hoja1!$F$2:$XFD$61,AM13+4,FALSE),0)</f>
        <v>0</v>
      </c>
      <c r="CV13">
        <f>IFERROR(VLOOKUP(CV$6,Hoja1!$F$2:$XFD$61,AN13+4,FALSE),0)</f>
        <v>0</v>
      </c>
      <c r="CW13">
        <f>IFERROR(VLOOKUP(CW$6,Hoja1!$F$2:$XFD$61,AO13+4,FALSE),0)</f>
        <v>0</v>
      </c>
      <c r="CX13">
        <f>IFERROR(VLOOKUP(CX$6,Hoja1!$F$2:$XFD$61,AP13+4,FALSE),0)</f>
        <v>0</v>
      </c>
      <c r="CY13">
        <f>IFERROR(VLOOKUP(CY$6,Hoja1!$F$2:$XFD$61,AQ13+4,FALSE),0)</f>
        <v>0</v>
      </c>
      <c r="CZ13">
        <f>IFERROR(VLOOKUP(CZ$6,Hoja1!$F$2:$XFD$61,AR13+4,FALSE),0)</f>
        <v>0</v>
      </c>
      <c r="DA13">
        <f>IFERROR(VLOOKUP(DA$6,Hoja1!$F$2:$XFD$61,AS13+4,FALSE),0)</f>
        <v>0</v>
      </c>
      <c r="DB13">
        <f>IFERROR(VLOOKUP(DB$6,Hoja1!$F$2:$XFD$61,AT13+4,FALSE),0)</f>
        <v>0</v>
      </c>
      <c r="DC13">
        <f>IFERROR(VLOOKUP(DC$6,Hoja1!$F$2:$XFD$61,AU13+4,FALSE),0)</f>
        <v>0</v>
      </c>
      <c r="DD13">
        <f>IFERROR(VLOOKUP(DD$6,Hoja1!$F$2:$XFD$61,AV13+4,FALSE),0)</f>
        <v>0</v>
      </c>
      <c r="DE13">
        <f>IFERROR(VLOOKUP(DE$6,Hoja1!$F$2:$XFD$61,AW13+4,FALSE),0)</f>
        <v>0</v>
      </c>
      <c r="DF13">
        <f>IFERROR(VLOOKUP(DF$6,Hoja1!$F$2:$XFD$61,AX13+4,FALSE),0)</f>
        <v>0</v>
      </c>
      <c r="DG13">
        <f>IFERROR(VLOOKUP(DG$6,Hoja1!$F$2:$XFD$61,AY13+4,FALSE),0)</f>
        <v>0</v>
      </c>
      <c r="DH13">
        <f>IFERROR(VLOOKUP(DH$6,Hoja1!$F$2:$XFD$61,AZ13+4,FALSE),0)</f>
        <v>0</v>
      </c>
      <c r="DI13">
        <f>IFERROR(VLOOKUP(DI$6,Hoja1!$F$2:$XFD$61,BA13+4,FALSE),0)</f>
        <v>0</v>
      </c>
      <c r="DJ13">
        <f>IFERROR(VLOOKUP(DJ$6,Hoja1!$F$2:$XFD$61,BB13+4,FALSE),0)</f>
        <v>0</v>
      </c>
      <c r="DK13">
        <f>IFERROR(VLOOKUP(DK$6,Hoja1!$F$2:$XFD$61,BC13+4,FALSE),0)</f>
        <v>0</v>
      </c>
      <c r="DL13">
        <f>IFERROR(VLOOKUP(DL$6,Hoja1!$F$2:$XFD$61,BD13+4,FALSE),0)</f>
        <v>0</v>
      </c>
      <c r="DM13">
        <f>IFERROR(VLOOKUP(DM$6,Hoja1!$F$2:$XFD$61,BE13+4,FALSE),0)</f>
        <v>0</v>
      </c>
      <c r="DN13">
        <f>IFERROR(VLOOKUP(DN$6,Hoja1!$F$2:$XFD$61,BF13+4,FALSE),0)</f>
        <v>0</v>
      </c>
      <c r="DO13">
        <f>IFERROR(VLOOKUP(DO$6,Hoja1!$F$2:$XFD$61,BG13+4,FALSE),0)</f>
        <v>0</v>
      </c>
      <c r="DP13">
        <f>IFERROR(VLOOKUP(DP$6,Hoja1!$F$2:$XFD$61,BH13+4,FALSE),0)</f>
        <v>0</v>
      </c>
      <c r="DQ13">
        <f>IFERROR(VLOOKUP(DQ$6,Hoja1!$F$2:$XFD$61,BI13+4,FALSE),0)</f>
        <v>0</v>
      </c>
      <c r="DR13">
        <f>IFERROR(VLOOKUP(DR$6,Hoja1!$F$2:$XFD$61,BJ13+4,FALSE),0)</f>
        <v>0</v>
      </c>
      <c r="DS13">
        <f>IFERROR(VLOOKUP(DS$6,Hoja1!$F$2:$XFD$61,BK13+4,FALSE),0)</f>
        <v>0</v>
      </c>
      <c r="DT13">
        <f>IFERROR(VLOOKUP(DT$6,Hoja1!$F$2:$XFD$61,BL13+4,FALSE),0)</f>
        <v>0</v>
      </c>
      <c r="DU13" s="15" t="str">
        <f t="shared" si="0"/>
        <v/>
      </c>
      <c r="DV13" s="16" t="str">
        <f>IF(D13&lt;&gt;"",IF(DU13="","",IF(DU13&gt;=$DU$7*Hoja1!$E$2,4+3/($DU$7*(1-Hoja1!$E$2))*(DU13-$DU$7*Hoja1!$E$2),1+3/($DU$7*Hoja1!$E$2)*DU13)),DU13)</f>
        <v/>
      </c>
      <c r="DW13" s="47" t="b">
        <v>0</v>
      </c>
    </row>
    <row r="14" spans="1:129" ht="23.25" customHeight="1" x14ac:dyDescent="0.25">
      <c r="A14" s="17">
        <v>5</v>
      </c>
      <c r="B14" s="14"/>
      <c r="C14" s="14"/>
      <c r="D14" s="1"/>
      <c r="E14" s="28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29"/>
      <c r="BM14">
        <f>IFERROR(VLOOKUP(BM$6,Hoja1!$F$2:$XFD$61,E14+4,FALSE),0)</f>
        <v>0</v>
      </c>
      <c r="BN14">
        <f>IFERROR(VLOOKUP(BN$6,Hoja1!$F$2:$XFD$61,F14+4,FALSE),0)</f>
        <v>0</v>
      </c>
      <c r="BO14">
        <f>IFERROR(VLOOKUP(BO$6,Hoja1!$F$2:$XFD$61,G14+4,FALSE),0)</f>
        <v>0</v>
      </c>
      <c r="BP14">
        <f>IFERROR(VLOOKUP(BP$6,Hoja1!$F$2:$XFD$61,H14+4,FALSE),0)</f>
        <v>0</v>
      </c>
      <c r="BQ14">
        <f>IFERROR(VLOOKUP(BQ$6,Hoja1!$F$2:$XFD$61,I14+4,FALSE),0)</f>
        <v>0</v>
      </c>
      <c r="BR14">
        <f>IFERROR(VLOOKUP(BR$6,Hoja1!$F$2:$XFD$61,J14+4,FALSE),0)</f>
        <v>0</v>
      </c>
      <c r="BS14">
        <f>IFERROR(VLOOKUP(BS$6,Hoja1!$F$2:$XFD$61,K14+4,FALSE),0)</f>
        <v>0</v>
      </c>
      <c r="BT14">
        <f>IFERROR(VLOOKUP(BT$6,Hoja1!$F$2:$XFD$61,L14+4,FALSE),0)</f>
        <v>0</v>
      </c>
      <c r="BU14">
        <f>IFERROR(VLOOKUP(BU$6,Hoja1!$F$2:$XFD$61,M14+4,FALSE),0)</f>
        <v>0</v>
      </c>
      <c r="BV14">
        <f>IFERROR(VLOOKUP(BV$6,Hoja1!$F$2:$XFD$61,N14+4,FALSE),0)</f>
        <v>0</v>
      </c>
      <c r="BW14">
        <f>IFERROR(VLOOKUP(BW$6,Hoja1!$F$2:$XFD$61,O14+4,FALSE),0)</f>
        <v>0</v>
      </c>
      <c r="BX14">
        <f>IFERROR(VLOOKUP(BX$6,Hoja1!$F$2:$XFD$61,P14+4,FALSE),0)</f>
        <v>0</v>
      </c>
      <c r="BY14">
        <f>IFERROR(VLOOKUP(BY$6,Hoja1!$F$2:$XFD$61,Q14+4,FALSE),0)</f>
        <v>0</v>
      </c>
      <c r="BZ14">
        <f>IFERROR(VLOOKUP(BZ$6,Hoja1!$F$2:$XFD$61,R14+4,FALSE),0)</f>
        <v>0</v>
      </c>
      <c r="CA14">
        <f>IFERROR(VLOOKUP(CA$6,Hoja1!$F$2:$XFD$61,S14+4,FALSE),0)</f>
        <v>0</v>
      </c>
      <c r="CB14">
        <f>IFERROR(VLOOKUP(CB$6,Hoja1!$F$2:$XFD$61,T14+4,FALSE),0)</f>
        <v>0</v>
      </c>
      <c r="CC14">
        <f>IFERROR(VLOOKUP(CC$6,Hoja1!$F$2:$XFD$61,U14+4,FALSE),0)</f>
        <v>0</v>
      </c>
      <c r="CD14">
        <f>IFERROR(VLOOKUP(CD$6,Hoja1!$F$2:$XFD$61,V14+4,FALSE),0)</f>
        <v>0</v>
      </c>
      <c r="CE14">
        <f>IFERROR(VLOOKUP(CE$6,Hoja1!$F$2:$XFD$61,W14+4,FALSE),0)</f>
        <v>0</v>
      </c>
      <c r="CF14">
        <f>IFERROR(VLOOKUP(CF$6,Hoja1!$F$2:$XFD$61,X14+4,FALSE),0)</f>
        <v>0</v>
      </c>
      <c r="CG14">
        <f>IFERROR(VLOOKUP(CG$6,Hoja1!$F$2:$XFD$61,Y14+4,FALSE),0)</f>
        <v>0</v>
      </c>
      <c r="CH14">
        <f>IFERROR(VLOOKUP(CH$6,Hoja1!$F$2:$XFD$61,Z14+4,FALSE),0)</f>
        <v>0</v>
      </c>
      <c r="CI14">
        <f>IFERROR(VLOOKUP(CI$6,Hoja1!$F$2:$XFD$61,AA14+4,FALSE),0)</f>
        <v>0</v>
      </c>
      <c r="CJ14">
        <f>IFERROR(VLOOKUP(CJ$6,Hoja1!$F$2:$XFD$61,AB14+4,FALSE),0)</f>
        <v>0</v>
      </c>
      <c r="CK14">
        <f>IFERROR(VLOOKUP(CK$6,Hoja1!$F$2:$XFD$61,AC14+4,FALSE),0)</f>
        <v>0</v>
      </c>
      <c r="CL14">
        <f>IFERROR(VLOOKUP(CL$6,Hoja1!$F$2:$XFD$61,AD14+4,FALSE),0)</f>
        <v>0</v>
      </c>
      <c r="CM14">
        <f>IFERROR(VLOOKUP(CM$6,Hoja1!$F$2:$XFD$61,AE14+4,FALSE),0)</f>
        <v>0</v>
      </c>
      <c r="CN14">
        <f>IFERROR(VLOOKUP(CN$6,Hoja1!$F$2:$XFD$61,AF14+4,FALSE),0)</f>
        <v>0</v>
      </c>
      <c r="CO14">
        <f>IFERROR(VLOOKUP(CO$6,Hoja1!$F$2:$XFD$61,AG14+4,FALSE),0)</f>
        <v>0</v>
      </c>
      <c r="CP14">
        <f>IFERROR(VLOOKUP(CP$6,Hoja1!$F$2:$XFD$61,AH14+4,FALSE),0)</f>
        <v>0</v>
      </c>
      <c r="CQ14">
        <f>IFERROR(VLOOKUP(CQ$6,Hoja1!$F$2:$XFD$61,AI14+4,FALSE),0)</f>
        <v>0</v>
      </c>
      <c r="CR14">
        <f>IFERROR(VLOOKUP(CR$6,Hoja1!$F$2:$XFD$61,AJ14+4,FALSE),0)</f>
        <v>0</v>
      </c>
      <c r="CS14">
        <f>IFERROR(VLOOKUP(CS$6,Hoja1!$F$2:$XFD$61,AK14+4,FALSE),0)</f>
        <v>0</v>
      </c>
      <c r="CT14">
        <f>IFERROR(VLOOKUP(CT$6,Hoja1!$F$2:$XFD$61,AL14+4,FALSE),0)</f>
        <v>0</v>
      </c>
      <c r="CU14">
        <f>IFERROR(VLOOKUP(CU$6,Hoja1!$F$2:$XFD$61,AM14+4,FALSE),0)</f>
        <v>0</v>
      </c>
      <c r="CV14">
        <f>IFERROR(VLOOKUP(CV$6,Hoja1!$F$2:$XFD$61,AN14+4,FALSE),0)</f>
        <v>0</v>
      </c>
      <c r="CW14">
        <f>IFERROR(VLOOKUP(CW$6,Hoja1!$F$2:$XFD$61,AO14+4,FALSE),0)</f>
        <v>0</v>
      </c>
      <c r="CX14">
        <f>IFERROR(VLOOKUP(CX$6,Hoja1!$F$2:$XFD$61,AP14+4,FALSE),0)</f>
        <v>0</v>
      </c>
      <c r="CY14">
        <f>IFERROR(VLOOKUP(CY$6,Hoja1!$F$2:$XFD$61,AQ14+4,FALSE),0)</f>
        <v>0</v>
      </c>
      <c r="CZ14">
        <f>IFERROR(VLOOKUP(CZ$6,Hoja1!$F$2:$XFD$61,AR14+4,FALSE),0)</f>
        <v>0</v>
      </c>
      <c r="DA14">
        <f>IFERROR(VLOOKUP(DA$6,Hoja1!$F$2:$XFD$61,AS14+4,FALSE),0)</f>
        <v>0</v>
      </c>
      <c r="DB14">
        <f>IFERROR(VLOOKUP(DB$6,Hoja1!$F$2:$XFD$61,AT14+4,FALSE),0)</f>
        <v>0</v>
      </c>
      <c r="DC14">
        <f>IFERROR(VLOOKUP(DC$6,Hoja1!$F$2:$XFD$61,AU14+4,FALSE),0)</f>
        <v>0</v>
      </c>
      <c r="DD14">
        <f>IFERROR(VLOOKUP(DD$6,Hoja1!$F$2:$XFD$61,AV14+4,FALSE),0)</f>
        <v>0</v>
      </c>
      <c r="DE14">
        <f>IFERROR(VLOOKUP(DE$6,Hoja1!$F$2:$XFD$61,AW14+4,FALSE),0)</f>
        <v>0</v>
      </c>
      <c r="DF14">
        <f>IFERROR(VLOOKUP(DF$6,Hoja1!$F$2:$XFD$61,AX14+4,FALSE),0)</f>
        <v>0</v>
      </c>
      <c r="DG14">
        <f>IFERROR(VLOOKUP(DG$6,Hoja1!$F$2:$XFD$61,AY14+4,FALSE),0)</f>
        <v>0</v>
      </c>
      <c r="DH14">
        <f>IFERROR(VLOOKUP(DH$6,Hoja1!$F$2:$XFD$61,AZ14+4,FALSE),0)</f>
        <v>0</v>
      </c>
      <c r="DI14">
        <f>IFERROR(VLOOKUP(DI$6,Hoja1!$F$2:$XFD$61,BA14+4,FALSE),0)</f>
        <v>0</v>
      </c>
      <c r="DJ14">
        <f>IFERROR(VLOOKUP(DJ$6,Hoja1!$F$2:$XFD$61,BB14+4,FALSE),0)</f>
        <v>0</v>
      </c>
      <c r="DK14">
        <f>IFERROR(VLOOKUP(DK$6,Hoja1!$F$2:$XFD$61,BC14+4,FALSE),0)</f>
        <v>0</v>
      </c>
      <c r="DL14">
        <f>IFERROR(VLOOKUP(DL$6,Hoja1!$F$2:$XFD$61,BD14+4,FALSE),0)</f>
        <v>0</v>
      </c>
      <c r="DM14">
        <f>IFERROR(VLOOKUP(DM$6,Hoja1!$F$2:$XFD$61,BE14+4,FALSE),0)</f>
        <v>0</v>
      </c>
      <c r="DN14">
        <f>IFERROR(VLOOKUP(DN$6,Hoja1!$F$2:$XFD$61,BF14+4,FALSE),0)</f>
        <v>0</v>
      </c>
      <c r="DO14">
        <f>IFERROR(VLOOKUP(DO$6,Hoja1!$F$2:$XFD$61,BG14+4,FALSE),0)</f>
        <v>0</v>
      </c>
      <c r="DP14">
        <f>IFERROR(VLOOKUP(DP$6,Hoja1!$F$2:$XFD$61,BH14+4,FALSE),0)</f>
        <v>0</v>
      </c>
      <c r="DQ14">
        <f>IFERROR(VLOOKUP(DQ$6,Hoja1!$F$2:$XFD$61,BI14+4,FALSE),0)</f>
        <v>0</v>
      </c>
      <c r="DR14">
        <f>IFERROR(VLOOKUP(DR$6,Hoja1!$F$2:$XFD$61,BJ14+4,FALSE),0)</f>
        <v>0</v>
      </c>
      <c r="DS14">
        <f>IFERROR(VLOOKUP(DS$6,Hoja1!$F$2:$XFD$61,BK14+4,FALSE),0)</f>
        <v>0</v>
      </c>
      <c r="DT14">
        <f>IFERROR(VLOOKUP(DT$6,Hoja1!$F$2:$XFD$61,BL14+4,FALSE),0)</f>
        <v>0</v>
      </c>
      <c r="DU14" s="15" t="str">
        <f t="shared" si="0"/>
        <v/>
      </c>
      <c r="DV14" s="16" t="str">
        <f>IF(D14&lt;&gt;"",IF(DU14="","",IF(DU14&gt;=$DU$7*Hoja1!$E$2,4+3/($DU$7*(1-Hoja1!$E$2))*(DU14-$DU$7*Hoja1!$E$2),1+3/($DU$7*Hoja1!$E$2)*DU14)),DU14)</f>
        <v/>
      </c>
      <c r="DW14" s="47" t="b">
        <v>0</v>
      </c>
    </row>
    <row r="15" spans="1:129" ht="23.25" customHeight="1" x14ac:dyDescent="0.25">
      <c r="A15" s="17">
        <v>6</v>
      </c>
      <c r="B15" s="18"/>
      <c r="C15" s="14"/>
      <c r="D15" s="1"/>
      <c r="E15" s="28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29"/>
      <c r="BM15">
        <f>IFERROR(VLOOKUP(BM$6,Hoja1!$F$2:$XFD$61,E15+4,FALSE),0)</f>
        <v>0</v>
      </c>
      <c r="BN15">
        <f>IFERROR(VLOOKUP(BN$6,Hoja1!$F$2:$XFD$61,F15+4,FALSE),0)</f>
        <v>0</v>
      </c>
      <c r="BO15">
        <f>IFERROR(VLOOKUP(BO$6,Hoja1!$F$2:$XFD$61,G15+4,FALSE),0)</f>
        <v>0</v>
      </c>
      <c r="BP15">
        <f>IFERROR(VLOOKUP(BP$6,Hoja1!$F$2:$XFD$61,H15+4,FALSE),0)</f>
        <v>0</v>
      </c>
      <c r="BQ15">
        <f>IFERROR(VLOOKUP(BQ$6,Hoja1!$F$2:$XFD$61,I15+4,FALSE),0)</f>
        <v>0</v>
      </c>
      <c r="BR15">
        <f>IFERROR(VLOOKUP(BR$6,Hoja1!$F$2:$XFD$61,J15+4,FALSE),0)</f>
        <v>0</v>
      </c>
      <c r="BS15">
        <f>IFERROR(VLOOKUP(BS$6,Hoja1!$F$2:$XFD$61,K15+4,FALSE),0)</f>
        <v>0</v>
      </c>
      <c r="BT15">
        <f>IFERROR(VLOOKUP(BT$6,Hoja1!$F$2:$XFD$61,L15+4,FALSE),0)</f>
        <v>0</v>
      </c>
      <c r="BU15">
        <f>IFERROR(VLOOKUP(BU$6,Hoja1!$F$2:$XFD$61,M15+4,FALSE),0)</f>
        <v>0</v>
      </c>
      <c r="BV15">
        <f>IFERROR(VLOOKUP(BV$6,Hoja1!$F$2:$XFD$61,N15+4,FALSE),0)</f>
        <v>0</v>
      </c>
      <c r="BW15">
        <f>IFERROR(VLOOKUP(BW$6,Hoja1!$F$2:$XFD$61,O15+4,FALSE),0)</f>
        <v>0</v>
      </c>
      <c r="BX15">
        <f>IFERROR(VLOOKUP(BX$6,Hoja1!$F$2:$XFD$61,P15+4,FALSE),0)</f>
        <v>0</v>
      </c>
      <c r="BY15">
        <f>IFERROR(VLOOKUP(BY$6,Hoja1!$F$2:$XFD$61,Q15+4,FALSE),0)</f>
        <v>0</v>
      </c>
      <c r="BZ15">
        <f>IFERROR(VLOOKUP(BZ$6,Hoja1!$F$2:$XFD$61,R15+4,FALSE),0)</f>
        <v>0</v>
      </c>
      <c r="CA15">
        <f>IFERROR(VLOOKUP(CA$6,Hoja1!$F$2:$XFD$61,S15+4,FALSE),0)</f>
        <v>0</v>
      </c>
      <c r="CB15">
        <f>IFERROR(VLOOKUP(CB$6,Hoja1!$F$2:$XFD$61,T15+4,FALSE),0)</f>
        <v>0</v>
      </c>
      <c r="CC15">
        <f>IFERROR(VLOOKUP(CC$6,Hoja1!$F$2:$XFD$61,U15+4,FALSE),0)</f>
        <v>0</v>
      </c>
      <c r="CD15">
        <f>IFERROR(VLOOKUP(CD$6,Hoja1!$F$2:$XFD$61,V15+4,FALSE),0)</f>
        <v>0</v>
      </c>
      <c r="CE15">
        <f>IFERROR(VLOOKUP(CE$6,Hoja1!$F$2:$XFD$61,W15+4,FALSE),0)</f>
        <v>0</v>
      </c>
      <c r="CF15">
        <f>IFERROR(VLOOKUP(CF$6,Hoja1!$F$2:$XFD$61,X15+4,FALSE),0)</f>
        <v>0</v>
      </c>
      <c r="CG15">
        <f>IFERROR(VLOOKUP(CG$6,Hoja1!$F$2:$XFD$61,Y15+4,FALSE),0)</f>
        <v>0</v>
      </c>
      <c r="CH15">
        <f>IFERROR(VLOOKUP(CH$6,Hoja1!$F$2:$XFD$61,Z15+4,FALSE),0)</f>
        <v>0</v>
      </c>
      <c r="CI15">
        <f>IFERROR(VLOOKUP(CI$6,Hoja1!$F$2:$XFD$61,AA15+4,FALSE),0)</f>
        <v>0</v>
      </c>
      <c r="CJ15">
        <f>IFERROR(VLOOKUP(CJ$6,Hoja1!$F$2:$XFD$61,AB15+4,FALSE),0)</f>
        <v>0</v>
      </c>
      <c r="CK15">
        <f>IFERROR(VLOOKUP(CK$6,Hoja1!$F$2:$XFD$61,AC15+4,FALSE),0)</f>
        <v>0</v>
      </c>
      <c r="CL15">
        <f>IFERROR(VLOOKUP(CL$6,Hoja1!$F$2:$XFD$61,AD15+4,FALSE),0)</f>
        <v>0</v>
      </c>
      <c r="CM15">
        <f>IFERROR(VLOOKUP(CM$6,Hoja1!$F$2:$XFD$61,AE15+4,FALSE),0)</f>
        <v>0</v>
      </c>
      <c r="CN15">
        <f>IFERROR(VLOOKUP(CN$6,Hoja1!$F$2:$XFD$61,AF15+4,FALSE),0)</f>
        <v>0</v>
      </c>
      <c r="CO15">
        <f>IFERROR(VLOOKUP(CO$6,Hoja1!$F$2:$XFD$61,AG15+4,FALSE),0)</f>
        <v>0</v>
      </c>
      <c r="CP15">
        <f>IFERROR(VLOOKUP(CP$6,Hoja1!$F$2:$XFD$61,AH15+4,FALSE),0)</f>
        <v>0</v>
      </c>
      <c r="CQ15">
        <f>IFERROR(VLOOKUP(CQ$6,Hoja1!$F$2:$XFD$61,AI15+4,FALSE),0)</f>
        <v>0</v>
      </c>
      <c r="CR15">
        <f>IFERROR(VLOOKUP(CR$6,Hoja1!$F$2:$XFD$61,AJ15+4,FALSE),0)</f>
        <v>0</v>
      </c>
      <c r="CS15">
        <f>IFERROR(VLOOKUP(CS$6,Hoja1!$F$2:$XFD$61,AK15+4,FALSE),0)</f>
        <v>0</v>
      </c>
      <c r="CT15">
        <f>IFERROR(VLOOKUP(CT$6,Hoja1!$F$2:$XFD$61,AL15+4,FALSE),0)</f>
        <v>0</v>
      </c>
      <c r="CU15">
        <f>IFERROR(VLOOKUP(CU$6,Hoja1!$F$2:$XFD$61,AM15+4,FALSE),0)</f>
        <v>0</v>
      </c>
      <c r="CV15">
        <f>IFERROR(VLOOKUP(CV$6,Hoja1!$F$2:$XFD$61,AN15+4,FALSE),0)</f>
        <v>0</v>
      </c>
      <c r="CW15">
        <f>IFERROR(VLOOKUP(CW$6,Hoja1!$F$2:$XFD$61,AO15+4,FALSE),0)</f>
        <v>0</v>
      </c>
      <c r="CX15">
        <f>IFERROR(VLOOKUP(CX$6,Hoja1!$F$2:$XFD$61,AP15+4,FALSE),0)</f>
        <v>0</v>
      </c>
      <c r="CY15">
        <f>IFERROR(VLOOKUP(CY$6,Hoja1!$F$2:$XFD$61,AQ15+4,FALSE),0)</f>
        <v>0</v>
      </c>
      <c r="CZ15">
        <f>IFERROR(VLOOKUP(CZ$6,Hoja1!$F$2:$XFD$61,AR15+4,FALSE),0)</f>
        <v>0</v>
      </c>
      <c r="DA15">
        <f>IFERROR(VLOOKUP(DA$6,Hoja1!$F$2:$XFD$61,AS15+4,FALSE),0)</f>
        <v>0</v>
      </c>
      <c r="DB15">
        <f>IFERROR(VLOOKUP(DB$6,Hoja1!$F$2:$XFD$61,AT15+4,FALSE),0)</f>
        <v>0</v>
      </c>
      <c r="DC15">
        <f>IFERROR(VLOOKUP(DC$6,Hoja1!$F$2:$XFD$61,AU15+4,FALSE),0)</f>
        <v>0</v>
      </c>
      <c r="DD15">
        <f>IFERROR(VLOOKUP(DD$6,Hoja1!$F$2:$XFD$61,AV15+4,FALSE),0)</f>
        <v>0</v>
      </c>
      <c r="DE15">
        <f>IFERROR(VLOOKUP(DE$6,Hoja1!$F$2:$XFD$61,AW15+4,FALSE),0)</f>
        <v>0</v>
      </c>
      <c r="DF15">
        <f>IFERROR(VLOOKUP(DF$6,Hoja1!$F$2:$XFD$61,AX15+4,FALSE),0)</f>
        <v>0</v>
      </c>
      <c r="DG15">
        <f>IFERROR(VLOOKUP(DG$6,Hoja1!$F$2:$XFD$61,AY15+4,FALSE),0)</f>
        <v>0</v>
      </c>
      <c r="DH15">
        <f>IFERROR(VLOOKUP(DH$6,Hoja1!$F$2:$XFD$61,AZ15+4,FALSE),0)</f>
        <v>0</v>
      </c>
      <c r="DI15">
        <f>IFERROR(VLOOKUP(DI$6,Hoja1!$F$2:$XFD$61,BA15+4,FALSE),0)</f>
        <v>0</v>
      </c>
      <c r="DJ15">
        <f>IFERROR(VLOOKUP(DJ$6,Hoja1!$F$2:$XFD$61,BB15+4,FALSE),0)</f>
        <v>0</v>
      </c>
      <c r="DK15">
        <f>IFERROR(VLOOKUP(DK$6,Hoja1!$F$2:$XFD$61,BC15+4,FALSE),0)</f>
        <v>0</v>
      </c>
      <c r="DL15">
        <f>IFERROR(VLOOKUP(DL$6,Hoja1!$F$2:$XFD$61,BD15+4,FALSE),0)</f>
        <v>0</v>
      </c>
      <c r="DM15">
        <f>IFERROR(VLOOKUP(DM$6,Hoja1!$F$2:$XFD$61,BE15+4,FALSE),0)</f>
        <v>0</v>
      </c>
      <c r="DN15">
        <f>IFERROR(VLOOKUP(DN$6,Hoja1!$F$2:$XFD$61,BF15+4,FALSE),0)</f>
        <v>0</v>
      </c>
      <c r="DO15">
        <f>IFERROR(VLOOKUP(DO$6,Hoja1!$F$2:$XFD$61,BG15+4,FALSE),0)</f>
        <v>0</v>
      </c>
      <c r="DP15">
        <f>IFERROR(VLOOKUP(DP$6,Hoja1!$F$2:$XFD$61,BH15+4,FALSE),0)</f>
        <v>0</v>
      </c>
      <c r="DQ15">
        <f>IFERROR(VLOOKUP(DQ$6,Hoja1!$F$2:$XFD$61,BI15+4,FALSE),0)</f>
        <v>0</v>
      </c>
      <c r="DR15">
        <f>IFERROR(VLOOKUP(DR$6,Hoja1!$F$2:$XFD$61,BJ15+4,FALSE),0)</f>
        <v>0</v>
      </c>
      <c r="DS15">
        <f>IFERROR(VLOOKUP(DS$6,Hoja1!$F$2:$XFD$61,BK15+4,FALSE),0)</f>
        <v>0</v>
      </c>
      <c r="DT15">
        <f>IFERROR(VLOOKUP(DT$6,Hoja1!$F$2:$XFD$61,BL15+4,FALSE),0)</f>
        <v>0</v>
      </c>
      <c r="DU15" s="15" t="str">
        <f t="shared" si="0"/>
        <v/>
      </c>
      <c r="DV15" s="16" t="str">
        <f>IF(D15&lt;&gt;"",IF(DU15="","",IF(DU15&gt;=$DU$7*Hoja1!$E$2,4+3/($DU$7*(1-Hoja1!$E$2))*(DU15-$DU$7*Hoja1!$E$2),1+3/($DU$7*Hoja1!$E$2)*DU15)),DU15)</f>
        <v/>
      </c>
      <c r="DW15" s="47" t="b">
        <v>0</v>
      </c>
    </row>
    <row r="16" spans="1:129" ht="23.25" customHeight="1" x14ac:dyDescent="0.25">
      <c r="A16" s="17">
        <v>7</v>
      </c>
      <c r="B16" s="14"/>
      <c r="C16" s="18"/>
      <c r="D16" s="1"/>
      <c r="E16" s="28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29"/>
      <c r="BM16">
        <f>IFERROR(VLOOKUP(BM$6,Hoja1!$F$2:$XFD$61,E16+4,FALSE),0)</f>
        <v>0</v>
      </c>
      <c r="BN16">
        <f>IFERROR(VLOOKUP(BN$6,Hoja1!$F$2:$XFD$61,F16+4,FALSE),0)</f>
        <v>0</v>
      </c>
      <c r="BO16">
        <f>IFERROR(VLOOKUP(BO$6,Hoja1!$F$2:$XFD$61,G16+4,FALSE),0)</f>
        <v>0</v>
      </c>
      <c r="BP16">
        <f>IFERROR(VLOOKUP(BP$6,Hoja1!$F$2:$XFD$61,H16+4,FALSE),0)</f>
        <v>0</v>
      </c>
      <c r="BQ16">
        <f>IFERROR(VLOOKUP(BQ$6,Hoja1!$F$2:$XFD$61,I16+4,FALSE),0)</f>
        <v>0</v>
      </c>
      <c r="BR16">
        <f>IFERROR(VLOOKUP(BR$6,Hoja1!$F$2:$XFD$61,J16+4,FALSE),0)</f>
        <v>0</v>
      </c>
      <c r="BS16">
        <f>IFERROR(VLOOKUP(BS$6,Hoja1!$F$2:$XFD$61,K16+4,FALSE),0)</f>
        <v>0</v>
      </c>
      <c r="BT16">
        <f>IFERROR(VLOOKUP(BT$6,Hoja1!$F$2:$XFD$61,L16+4,FALSE),0)</f>
        <v>0</v>
      </c>
      <c r="BU16">
        <f>IFERROR(VLOOKUP(BU$6,Hoja1!$F$2:$XFD$61,M16+4,FALSE),0)</f>
        <v>0</v>
      </c>
      <c r="BV16">
        <f>IFERROR(VLOOKUP(BV$6,Hoja1!$F$2:$XFD$61,N16+4,FALSE),0)</f>
        <v>0</v>
      </c>
      <c r="BW16">
        <f>IFERROR(VLOOKUP(BW$6,Hoja1!$F$2:$XFD$61,O16+4,FALSE),0)</f>
        <v>0</v>
      </c>
      <c r="BX16">
        <f>IFERROR(VLOOKUP(BX$6,Hoja1!$F$2:$XFD$61,P16+4,FALSE),0)</f>
        <v>0</v>
      </c>
      <c r="BY16">
        <f>IFERROR(VLOOKUP(BY$6,Hoja1!$F$2:$XFD$61,Q16+4,FALSE),0)</f>
        <v>0</v>
      </c>
      <c r="BZ16">
        <f>IFERROR(VLOOKUP(BZ$6,Hoja1!$F$2:$XFD$61,R16+4,FALSE),0)</f>
        <v>0</v>
      </c>
      <c r="CA16">
        <f>IFERROR(VLOOKUP(CA$6,Hoja1!$F$2:$XFD$61,S16+4,FALSE),0)</f>
        <v>0</v>
      </c>
      <c r="CB16">
        <f>IFERROR(VLOOKUP(CB$6,Hoja1!$F$2:$XFD$61,T16+4,FALSE),0)</f>
        <v>0</v>
      </c>
      <c r="CC16">
        <f>IFERROR(VLOOKUP(CC$6,Hoja1!$F$2:$XFD$61,U16+4,FALSE),0)</f>
        <v>0</v>
      </c>
      <c r="CD16">
        <f>IFERROR(VLOOKUP(CD$6,Hoja1!$F$2:$XFD$61,V16+4,FALSE),0)</f>
        <v>0</v>
      </c>
      <c r="CE16">
        <f>IFERROR(VLOOKUP(CE$6,Hoja1!$F$2:$XFD$61,W16+4,FALSE),0)</f>
        <v>0</v>
      </c>
      <c r="CF16">
        <f>IFERROR(VLOOKUP(CF$6,Hoja1!$F$2:$XFD$61,X16+4,FALSE),0)</f>
        <v>0</v>
      </c>
      <c r="CG16">
        <f>IFERROR(VLOOKUP(CG$6,Hoja1!$F$2:$XFD$61,Y16+4,FALSE),0)</f>
        <v>0</v>
      </c>
      <c r="CH16">
        <f>IFERROR(VLOOKUP(CH$6,Hoja1!$F$2:$XFD$61,Z16+4,FALSE),0)</f>
        <v>0</v>
      </c>
      <c r="CI16">
        <f>IFERROR(VLOOKUP(CI$6,Hoja1!$F$2:$XFD$61,AA16+4,FALSE),0)</f>
        <v>0</v>
      </c>
      <c r="CJ16">
        <f>IFERROR(VLOOKUP(CJ$6,Hoja1!$F$2:$XFD$61,AB16+4,FALSE),0)</f>
        <v>0</v>
      </c>
      <c r="CK16">
        <f>IFERROR(VLOOKUP(CK$6,Hoja1!$F$2:$XFD$61,AC16+4,FALSE),0)</f>
        <v>0</v>
      </c>
      <c r="CL16">
        <f>IFERROR(VLOOKUP(CL$6,Hoja1!$F$2:$XFD$61,AD16+4,FALSE),0)</f>
        <v>0</v>
      </c>
      <c r="CM16">
        <f>IFERROR(VLOOKUP(CM$6,Hoja1!$F$2:$XFD$61,AE16+4,FALSE),0)</f>
        <v>0</v>
      </c>
      <c r="CN16">
        <f>IFERROR(VLOOKUP(CN$6,Hoja1!$F$2:$XFD$61,AF16+4,FALSE),0)</f>
        <v>0</v>
      </c>
      <c r="CO16">
        <f>IFERROR(VLOOKUP(CO$6,Hoja1!$F$2:$XFD$61,AG16+4,FALSE),0)</f>
        <v>0</v>
      </c>
      <c r="CP16">
        <f>IFERROR(VLOOKUP(CP$6,Hoja1!$F$2:$XFD$61,AH16+4,FALSE),0)</f>
        <v>0</v>
      </c>
      <c r="CQ16">
        <f>IFERROR(VLOOKUP(CQ$6,Hoja1!$F$2:$XFD$61,AI16+4,FALSE),0)</f>
        <v>0</v>
      </c>
      <c r="CR16">
        <f>IFERROR(VLOOKUP(CR$6,Hoja1!$F$2:$XFD$61,AJ16+4,FALSE),0)</f>
        <v>0</v>
      </c>
      <c r="CS16">
        <f>IFERROR(VLOOKUP(CS$6,Hoja1!$F$2:$XFD$61,AK16+4,FALSE),0)</f>
        <v>0</v>
      </c>
      <c r="CT16">
        <f>IFERROR(VLOOKUP(CT$6,Hoja1!$F$2:$XFD$61,AL16+4,FALSE),0)</f>
        <v>0</v>
      </c>
      <c r="CU16">
        <f>IFERROR(VLOOKUP(CU$6,Hoja1!$F$2:$XFD$61,AM16+4,FALSE),0)</f>
        <v>0</v>
      </c>
      <c r="CV16">
        <f>IFERROR(VLOOKUP(CV$6,Hoja1!$F$2:$XFD$61,AN16+4,FALSE),0)</f>
        <v>0</v>
      </c>
      <c r="CW16">
        <f>IFERROR(VLOOKUP(CW$6,Hoja1!$F$2:$XFD$61,AO16+4,FALSE),0)</f>
        <v>0</v>
      </c>
      <c r="CX16">
        <f>IFERROR(VLOOKUP(CX$6,Hoja1!$F$2:$XFD$61,AP16+4,FALSE),0)</f>
        <v>0</v>
      </c>
      <c r="CY16">
        <f>IFERROR(VLOOKUP(CY$6,Hoja1!$F$2:$XFD$61,AQ16+4,FALSE),0)</f>
        <v>0</v>
      </c>
      <c r="CZ16">
        <f>IFERROR(VLOOKUP(CZ$6,Hoja1!$F$2:$XFD$61,AR16+4,FALSE),0)</f>
        <v>0</v>
      </c>
      <c r="DA16">
        <f>IFERROR(VLOOKUP(DA$6,Hoja1!$F$2:$XFD$61,AS16+4,FALSE),0)</f>
        <v>0</v>
      </c>
      <c r="DB16">
        <f>IFERROR(VLOOKUP(DB$6,Hoja1!$F$2:$XFD$61,AT16+4,FALSE),0)</f>
        <v>0</v>
      </c>
      <c r="DC16">
        <f>IFERROR(VLOOKUP(DC$6,Hoja1!$F$2:$XFD$61,AU16+4,FALSE),0)</f>
        <v>0</v>
      </c>
      <c r="DD16">
        <f>IFERROR(VLOOKUP(DD$6,Hoja1!$F$2:$XFD$61,AV16+4,FALSE),0)</f>
        <v>0</v>
      </c>
      <c r="DE16">
        <f>IFERROR(VLOOKUP(DE$6,Hoja1!$F$2:$XFD$61,AW16+4,FALSE),0)</f>
        <v>0</v>
      </c>
      <c r="DF16">
        <f>IFERROR(VLOOKUP(DF$6,Hoja1!$F$2:$XFD$61,AX16+4,FALSE),0)</f>
        <v>0</v>
      </c>
      <c r="DG16">
        <f>IFERROR(VLOOKUP(DG$6,Hoja1!$F$2:$XFD$61,AY16+4,FALSE),0)</f>
        <v>0</v>
      </c>
      <c r="DH16">
        <f>IFERROR(VLOOKUP(DH$6,Hoja1!$F$2:$XFD$61,AZ16+4,FALSE),0)</f>
        <v>0</v>
      </c>
      <c r="DI16">
        <f>IFERROR(VLOOKUP(DI$6,Hoja1!$F$2:$XFD$61,BA16+4,FALSE),0)</f>
        <v>0</v>
      </c>
      <c r="DJ16">
        <f>IFERROR(VLOOKUP(DJ$6,Hoja1!$F$2:$XFD$61,BB16+4,FALSE),0)</f>
        <v>0</v>
      </c>
      <c r="DK16">
        <f>IFERROR(VLOOKUP(DK$6,Hoja1!$F$2:$XFD$61,BC16+4,FALSE),0)</f>
        <v>0</v>
      </c>
      <c r="DL16">
        <f>IFERROR(VLOOKUP(DL$6,Hoja1!$F$2:$XFD$61,BD16+4,FALSE),0)</f>
        <v>0</v>
      </c>
      <c r="DM16">
        <f>IFERROR(VLOOKUP(DM$6,Hoja1!$F$2:$XFD$61,BE16+4,FALSE),0)</f>
        <v>0</v>
      </c>
      <c r="DN16">
        <f>IFERROR(VLOOKUP(DN$6,Hoja1!$F$2:$XFD$61,BF16+4,FALSE),0)</f>
        <v>0</v>
      </c>
      <c r="DO16">
        <f>IFERROR(VLOOKUP(DO$6,Hoja1!$F$2:$XFD$61,BG16+4,FALSE),0)</f>
        <v>0</v>
      </c>
      <c r="DP16">
        <f>IFERROR(VLOOKUP(DP$6,Hoja1!$F$2:$XFD$61,BH16+4,FALSE),0)</f>
        <v>0</v>
      </c>
      <c r="DQ16">
        <f>IFERROR(VLOOKUP(DQ$6,Hoja1!$F$2:$XFD$61,BI16+4,FALSE),0)</f>
        <v>0</v>
      </c>
      <c r="DR16">
        <f>IFERROR(VLOOKUP(DR$6,Hoja1!$F$2:$XFD$61,BJ16+4,FALSE),0)</f>
        <v>0</v>
      </c>
      <c r="DS16">
        <f>IFERROR(VLOOKUP(DS$6,Hoja1!$F$2:$XFD$61,BK16+4,FALSE),0)</f>
        <v>0</v>
      </c>
      <c r="DT16">
        <f>IFERROR(VLOOKUP(DT$6,Hoja1!$F$2:$XFD$61,BL16+4,FALSE),0)</f>
        <v>0</v>
      </c>
      <c r="DU16" s="15" t="str">
        <f t="shared" si="0"/>
        <v/>
      </c>
      <c r="DV16" s="16" t="str">
        <f>IF(D16&lt;&gt;"",IF(DU16="","",IF(DU16&gt;=$DU$7*Hoja1!$E$2,4+3/($DU$7*(1-Hoja1!$E$2))*(DU16-$DU$7*Hoja1!$E$2),1+3/($DU$7*Hoja1!$E$2)*DU16)),DU16)</f>
        <v/>
      </c>
      <c r="DW16" s="47" t="b">
        <v>0</v>
      </c>
    </row>
    <row r="17" spans="1:127" ht="23.25" customHeight="1" x14ac:dyDescent="0.25">
      <c r="A17" s="17">
        <v>8</v>
      </c>
      <c r="B17" s="18"/>
      <c r="C17" s="14"/>
      <c r="D17" s="1"/>
      <c r="E17" s="28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29"/>
      <c r="BM17">
        <f>IFERROR(VLOOKUP(BM$6,Hoja1!$F$2:$XFD$61,E17+4,FALSE),0)</f>
        <v>0</v>
      </c>
      <c r="BN17">
        <f>IFERROR(VLOOKUP(BN$6,Hoja1!$F$2:$XFD$61,F17+4,FALSE),0)</f>
        <v>0</v>
      </c>
      <c r="BO17">
        <f>IFERROR(VLOOKUP(BO$6,Hoja1!$F$2:$XFD$61,G17+4,FALSE),0)</f>
        <v>0</v>
      </c>
      <c r="BP17">
        <f>IFERROR(VLOOKUP(BP$6,Hoja1!$F$2:$XFD$61,H17+4,FALSE),0)</f>
        <v>0</v>
      </c>
      <c r="BQ17">
        <f>IFERROR(VLOOKUP(BQ$6,Hoja1!$F$2:$XFD$61,I17+4,FALSE),0)</f>
        <v>0</v>
      </c>
      <c r="BR17">
        <f>IFERROR(VLOOKUP(BR$6,Hoja1!$F$2:$XFD$61,J17+4,FALSE),0)</f>
        <v>0</v>
      </c>
      <c r="BS17">
        <f>IFERROR(VLOOKUP(BS$6,Hoja1!$F$2:$XFD$61,K17+4,FALSE),0)</f>
        <v>0</v>
      </c>
      <c r="BT17">
        <f>IFERROR(VLOOKUP(BT$6,Hoja1!$F$2:$XFD$61,L17+4,FALSE),0)</f>
        <v>0</v>
      </c>
      <c r="BU17">
        <f>IFERROR(VLOOKUP(BU$6,Hoja1!$F$2:$XFD$61,M17+4,FALSE),0)</f>
        <v>0</v>
      </c>
      <c r="BV17">
        <f>IFERROR(VLOOKUP(BV$6,Hoja1!$F$2:$XFD$61,N17+4,FALSE),0)</f>
        <v>0</v>
      </c>
      <c r="BW17">
        <f>IFERROR(VLOOKUP(BW$6,Hoja1!$F$2:$XFD$61,O17+4,FALSE),0)</f>
        <v>0</v>
      </c>
      <c r="BX17">
        <f>IFERROR(VLOOKUP(BX$6,Hoja1!$F$2:$XFD$61,P17+4,FALSE),0)</f>
        <v>0</v>
      </c>
      <c r="BY17">
        <f>IFERROR(VLOOKUP(BY$6,Hoja1!$F$2:$XFD$61,Q17+4,FALSE),0)</f>
        <v>0</v>
      </c>
      <c r="BZ17">
        <f>IFERROR(VLOOKUP(BZ$6,Hoja1!$F$2:$XFD$61,R17+4,FALSE),0)</f>
        <v>0</v>
      </c>
      <c r="CA17">
        <f>IFERROR(VLOOKUP(CA$6,Hoja1!$F$2:$XFD$61,S17+4,FALSE),0)</f>
        <v>0</v>
      </c>
      <c r="CB17">
        <f>IFERROR(VLOOKUP(CB$6,Hoja1!$F$2:$XFD$61,T17+4,FALSE),0)</f>
        <v>0</v>
      </c>
      <c r="CC17">
        <f>IFERROR(VLOOKUP(CC$6,Hoja1!$F$2:$XFD$61,U17+4,FALSE),0)</f>
        <v>0</v>
      </c>
      <c r="CD17">
        <f>IFERROR(VLOOKUP(CD$6,Hoja1!$F$2:$XFD$61,V17+4,FALSE),0)</f>
        <v>0</v>
      </c>
      <c r="CE17">
        <f>IFERROR(VLOOKUP(CE$6,Hoja1!$F$2:$XFD$61,W17+4,FALSE),0)</f>
        <v>0</v>
      </c>
      <c r="CF17">
        <f>IFERROR(VLOOKUP(CF$6,Hoja1!$F$2:$XFD$61,X17+4,FALSE),0)</f>
        <v>0</v>
      </c>
      <c r="CG17">
        <f>IFERROR(VLOOKUP(CG$6,Hoja1!$F$2:$XFD$61,Y17+4,FALSE),0)</f>
        <v>0</v>
      </c>
      <c r="CH17">
        <f>IFERROR(VLOOKUP(CH$6,Hoja1!$F$2:$XFD$61,Z17+4,FALSE),0)</f>
        <v>0</v>
      </c>
      <c r="CI17">
        <f>IFERROR(VLOOKUP(CI$6,Hoja1!$F$2:$XFD$61,AA17+4,FALSE),0)</f>
        <v>0</v>
      </c>
      <c r="CJ17">
        <f>IFERROR(VLOOKUP(CJ$6,Hoja1!$F$2:$XFD$61,AB17+4,FALSE),0)</f>
        <v>0</v>
      </c>
      <c r="CK17">
        <f>IFERROR(VLOOKUP(CK$6,Hoja1!$F$2:$XFD$61,AC17+4,FALSE),0)</f>
        <v>0</v>
      </c>
      <c r="CL17">
        <f>IFERROR(VLOOKUP(CL$6,Hoja1!$F$2:$XFD$61,AD17+4,FALSE),0)</f>
        <v>0</v>
      </c>
      <c r="CM17">
        <f>IFERROR(VLOOKUP(CM$6,Hoja1!$F$2:$XFD$61,AE17+4,FALSE),0)</f>
        <v>0</v>
      </c>
      <c r="CN17">
        <f>IFERROR(VLOOKUP(CN$6,Hoja1!$F$2:$XFD$61,AF17+4,FALSE),0)</f>
        <v>0</v>
      </c>
      <c r="CO17">
        <f>IFERROR(VLOOKUP(CO$6,Hoja1!$F$2:$XFD$61,AG17+4,FALSE),0)</f>
        <v>0</v>
      </c>
      <c r="CP17">
        <f>IFERROR(VLOOKUP(CP$6,Hoja1!$F$2:$XFD$61,AH17+4,FALSE),0)</f>
        <v>0</v>
      </c>
      <c r="CQ17">
        <f>IFERROR(VLOOKUP(CQ$6,Hoja1!$F$2:$XFD$61,AI17+4,FALSE),0)</f>
        <v>0</v>
      </c>
      <c r="CR17">
        <f>IFERROR(VLOOKUP(CR$6,Hoja1!$F$2:$XFD$61,AJ17+4,FALSE),0)</f>
        <v>0</v>
      </c>
      <c r="CS17">
        <f>IFERROR(VLOOKUP(CS$6,Hoja1!$F$2:$XFD$61,AK17+4,FALSE),0)</f>
        <v>0</v>
      </c>
      <c r="CT17">
        <f>IFERROR(VLOOKUP(CT$6,Hoja1!$F$2:$XFD$61,AL17+4,FALSE),0)</f>
        <v>0</v>
      </c>
      <c r="CU17">
        <f>IFERROR(VLOOKUP(CU$6,Hoja1!$F$2:$XFD$61,AM17+4,FALSE),0)</f>
        <v>0</v>
      </c>
      <c r="CV17">
        <f>IFERROR(VLOOKUP(CV$6,Hoja1!$F$2:$XFD$61,AN17+4,FALSE),0)</f>
        <v>0</v>
      </c>
      <c r="CW17">
        <f>IFERROR(VLOOKUP(CW$6,Hoja1!$F$2:$XFD$61,AO17+4,FALSE),0)</f>
        <v>0</v>
      </c>
      <c r="CX17">
        <f>IFERROR(VLOOKUP(CX$6,Hoja1!$F$2:$XFD$61,AP17+4,FALSE),0)</f>
        <v>0</v>
      </c>
      <c r="CY17">
        <f>IFERROR(VLOOKUP(CY$6,Hoja1!$F$2:$XFD$61,AQ17+4,FALSE),0)</f>
        <v>0</v>
      </c>
      <c r="CZ17">
        <f>IFERROR(VLOOKUP(CZ$6,Hoja1!$F$2:$XFD$61,AR17+4,FALSE),0)</f>
        <v>0</v>
      </c>
      <c r="DA17">
        <f>IFERROR(VLOOKUP(DA$6,Hoja1!$F$2:$XFD$61,AS17+4,FALSE),0)</f>
        <v>0</v>
      </c>
      <c r="DB17">
        <f>IFERROR(VLOOKUP(DB$6,Hoja1!$F$2:$XFD$61,AT17+4,FALSE),0)</f>
        <v>0</v>
      </c>
      <c r="DC17">
        <f>IFERROR(VLOOKUP(DC$6,Hoja1!$F$2:$XFD$61,AU17+4,FALSE),0)</f>
        <v>0</v>
      </c>
      <c r="DD17">
        <f>IFERROR(VLOOKUP(DD$6,Hoja1!$F$2:$XFD$61,AV17+4,FALSE),0)</f>
        <v>0</v>
      </c>
      <c r="DE17">
        <f>IFERROR(VLOOKUP(DE$6,Hoja1!$F$2:$XFD$61,AW17+4,FALSE),0)</f>
        <v>0</v>
      </c>
      <c r="DF17">
        <f>IFERROR(VLOOKUP(DF$6,Hoja1!$F$2:$XFD$61,AX17+4,FALSE),0)</f>
        <v>0</v>
      </c>
      <c r="DG17">
        <f>IFERROR(VLOOKUP(DG$6,Hoja1!$F$2:$XFD$61,AY17+4,FALSE),0)</f>
        <v>0</v>
      </c>
      <c r="DH17">
        <f>IFERROR(VLOOKUP(DH$6,Hoja1!$F$2:$XFD$61,AZ17+4,FALSE),0)</f>
        <v>0</v>
      </c>
      <c r="DI17">
        <f>IFERROR(VLOOKUP(DI$6,Hoja1!$F$2:$XFD$61,BA17+4,FALSE),0)</f>
        <v>0</v>
      </c>
      <c r="DJ17">
        <f>IFERROR(VLOOKUP(DJ$6,Hoja1!$F$2:$XFD$61,BB17+4,FALSE),0)</f>
        <v>0</v>
      </c>
      <c r="DK17">
        <f>IFERROR(VLOOKUP(DK$6,Hoja1!$F$2:$XFD$61,BC17+4,FALSE),0)</f>
        <v>0</v>
      </c>
      <c r="DL17">
        <f>IFERROR(VLOOKUP(DL$6,Hoja1!$F$2:$XFD$61,BD17+4,FALSE),0)</f>
        <v>0</v>
      </c>
      <c r="DM17">
        <f>IFERROR(VLOOKUP(DM$6,Hoja1!$F$2:$XFD$61,BE17+4,FALSE),0)</f>
        <v>0</v>
      </c>
      <c r="DN17">
        <f>IFERROR(VLOOKUP(DN$6,Hoja1!$F$2:$XFD$61,BF17+4,FALSE),0)</f>
        <v>0</v>
      </c>
      <c r="DO17">
        <f>IFERROR(VLOOKUP(DO$6,Hoja1!$F$2:$XFD$61,BG17+4,FALSE),0)</f>
        <v>0</v>
      </c>
      <c r="DP17">
        <f>IFERROR(VLOOKUP(DP$6,Hoja1!$F$2:$XFD$61,BH17+4,FALSE),0)</f>
        <v>0</v>
      </c>
      <c r="DQ17">
        <f>IFERROR(VLOOKUP(DQ$6,Hoja1!$F$2:$XFD$61,BI17+4,FALSE),0)</f>
        <v>0</v>
      </c>
      <c r="DR17">
        <f>IFERROR(VLOOKUP(DR$6,Hoja1!$F$2:$XFD$61,BJ17+4,FALSE),0)</f>
        <v>0</v>
      </c>
      <c r="DS17">
        <f>IFERROR(VLOOKUP(DS$6,Hoja1!$F$2:$XFD$61,BK17+4,FALSE),0)</f>
        <v>0</v>
      </c>
      <c r="DT17">
        <f>IFERROR(VLOOKUP(DT$6,Hoja1!$F$2:$XFD$61,BL17+4,FALSE),0)</f>
        <v>0</v>
      </c>
      <c r="DU17" s="15" t="str">
        <f t="shared" si="0"/>
        <v/>
      </c>
      <c r="DV17" s="16" t="str">
        <f>IF(D17&lt;&gt;"",IF(DU17="","",IF(DU17&gt;=$DU$7*Hoja1!$E$2,4+3/($DU$7*(1-Hoja1!$E$2))*(DU17-$DU$7*Hoja1!$E$2),1+3/($DU$7*Hoja1!$E$2)*DU17)),DU17)</f>
        <v/>
      </c>
      <c r="DW17" s="47" t="b">
        <v>0</v>
      </c>
    </row>
    <row r="18" spans="1:127" ht="23.25" customHeight="1" x14ac:dyDescent="0.25">
      <c r="A18" s="17">
        <v>9</v>
      </c>
      <c r="B18" s="14"/>
      <c r="C18" s="14"/>
      <c r="D18" s="1"/>
      <c r="E18" s="28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29"/>
      <c r="BM18">
        <f>IFERROR(VLOOKUP(BM$6,Hoja1!$F$2:$XFD$61,E18+4,FALSE),0)</f>
        <v>0</v>
      </c>
      <c r="BN18">
        <f>IFERROR(VLOOKUP(BN$6,Hoja1!$F$2:$XFD$61,F18+4,FALSE),0)</f>
        <v>0</v>
      </c>
      <c r="BO18">
        <f>IFERROR(VLOOKUP(BO$6,Hoja1!$F$2:$XFD$61,G18+4,FALSE),0)</f>
        <v>0</v>
      </c>
      <c r="BP18">
        <f>IFERROR(VLOOKUP(BP$6,Hoja1!$F$2:$XFD$61,H18+4,FALSE),0)</f>
        <v>0</v>
      </c>
      <c r="BQ18">
        <f>IFERROR(VLOOKUP(BQ$6,Hoja1!$F$2:$XFD$61,I18+4,FALSE),0)</f>
        <v>0</v>
      </c>
      <c r="BR18">
        <f>IFERROR(VLOOKUP(BR$6,Hoja1!$F$2:$XFD$61,J18+4,FALSE),0)</f>
        <v>0</v>
      </c>
      <c r="BS18">
        <f>IFERROR(VLOOKUP(BS$6,Hoja1!$F$2:$XFD$61,K18+4,FALSE),0)</f>
        <v>0</v>
      </c>
      <c r="BT18">
        <f>IFERROR(VLOOKUP(BT$6,Hoja1!$F$2:$XFD$61,L18+4,FALSE),0)</f>
        <v>0</v>
      </c>
      <c r="BU18">
        <f>IFERROR(VLOOKUP(BU$6,Hoja1!$F$2:$XFD$61,M18+4,FALSE),0)</f>
        <v>0</v>
      </c>
      <c r="BV18">
        <f>IFERROR(VLOOKUP(BV$6,Hoja1!$F$2:$XFD$61,N18+4,FALSE),0)</f>
        <v>0</v>
      </c>
      <c r="BW18">
        <f>IFERROR(VLOOKUP(BW$6,Hoja1!$F$2:$XFD$61,O18+4,FALSE),0)</f>
        <v>0</v>
      </c>
      <c r="BX18">
        <f>IFERROR(VLOOKUP(BX$6,Hoja1!$F$2:$XFD$61,P18+4,FALSE),0)</f>
        <v>0</v>
      </c>
      <c r="BY18">
        <f>IFERROR(VLOOKUP(BY$6,Hoja1!$F$2:$XFD$61,Q18+4,FALSE),0)</f>
        <v>0</v>
      </c>
      <c r="BZ18">
        <f>IFERROR(VLOOKUP(BZ$6,Hoja1!$F$2:$XFD$61,R18+4,FALSE),0)</f>
        <v>0</v>
      </c>
      <c r="CA18">
        <f>IFERROR(VLOOKUP(CA$6,Hoja1!$F$2:$XFD$61,S18+4,FALSE),0)</f>
        <v>0</v>
      </c>
      <c r="CB18">
        <f>IFERROR(VLOOKUP(CB$6,Hoja1!$F$2:$XFD$61,T18+4,FALSE),0)</f>
        <v>0</v>
      </c>
      <c r="CC18">
        <f>IFERROR(VLOOKUP(CC$6,Hoja1!$F$2:$XFD$61,U18+4,FALSE),0)</f>
        <v>0</v>
      </c>
      <c r="CD18">
        <f>IFERROR(VLOOKUP(CD$6,Hoja1!$F$2:$XFD$61,V18+4,FALSE),0)</f>
        <v>0</v>
      </c>
      <c r="CE18">
        <f>IFERROR(VLOOKUP(CE$6,Hoja1!$F$2:$XFD$61,W18+4,FALSE),0)</f>
        <v>0</v>
      </c>
      <c r="CF18">
        <f>IFERROR(VLOOKUP(CF$6,Hoja1!$F$2:$XFD$61,X18+4,FALSE),0)</f>
        <v>0</v>
      </c>
      <c r="CG18">
        <f>IFERROR(VLOOKUP(CG$6,Hoja1!$F$2:$XFD$61,Y18+4,FALSE),0)</f>
        <v>0</v>
      </c>
      <c r="CH18">
        <f>IFERROR(VLOOKUP(CH$6,Hoja1!$F$2:$XFD$61,Z18+4,FALSE),0)</f>
        <v>0</v>
      </c>
      <c r="CI18">
        <f>IFERROR(VLOOKUP(CI$6,Hoja1!$F$2:$XFD$61,AA18+4,FALSE),0)</f>
        <v>0</v>
      </c>
      <c r="CJ18">
        <f>IFERROR(VLOOKUP(CJ$6,Hoja1!$F$2:$XFD$61,AB18+4,FALSE),0)</f>
        <v>0</v>
      </c>
      <c r="CK18">
        <f>IFERROR(VLOOKUP(CK$6,Hoja1!$F$2:$XFD$61,AC18+4,FALSE),0)</f>
        <v>0</v>
      </c>
      <c r="CL18">
        <f>IFERROR(VLOOKUP(CL$6,Hoja1!$F$2:$XFD$61,AD18+4,FALSE),0)</f>
        <v>0</v>
      </c>
      <c r="CM18">
        <f>IFERROR(VLOOKUP(CM$6,Hoja1!$F$2:$XFD$61,AE18+4,FALSE),0)</f>
        <v>0</v>
      </c>
      <c r="CN18">
        <f>IFERROR(VLOOKUP(CN$6,Hoja1!$F$2:$XFD$61,AF18+4,FALSE),0)</f>
        <v>0</v>
      </c>
      <c r="CO18">
        <f>IFERROR(VLOOKUP(CO$6,Hoja1!$F$2:$XFD$61,AG18+4,FALSE),0)</f>
        <v>0</v>
      </c>
      <c r="CP18">
        <f>IFERROR(VLOOKUP(CP$6,Hoja1!$F$2:$XFD$61,AH18+4,FALSE),0)</f>
        <v>0</v>
      </c>
      <c r="CQ18">
        <f>IFERROR(VLOOKUP(CQ$6,Hoja1!$F$2:$XFD$61,AI18+4,FALSE),0)</f>
        <v>0</v>
      </c>
      <c r="CR18">
        <f>IFERROR(VLOOKUP(CR$6,Hoja1!$F$2:$XFD$61,AJ18+4,FALSE),0)</f>
        <v>0</v>
      </c>
      <c r="CS18">
        <f>IFERROR(VLOOKUP(CS$6,Hoja1!$F$2:$XFD$61,AK18+4,FALSE),0)</f>
        <v>0</v>
      </c>
      <c r="CT18">
        <f>IFERROR(VLOOKUP(CT$6,Hoja1!$F$2:$XFD$61,AL18+4,FALSE),0)</f>
        <v>0</v>
      </c>
      <c r="CU18">
        <f>IFERROR(VLOOKUP(CU$6,Hoja1!$F$2:$XFD$61,AM18+4,FALSE),0)</f>
        <v>0</v>
      </c>
      <c r="CV18">
        <f>IFERROR(VLOOKUP(CV$6,Hoja1!$F$2:$XFD$61,AN18+4,FALSE),0)</f>
        <v>0</v>
      </c>
      <c r="CW18">
        <f>IFERROR(VLOOKUP(CW$6,Hoja1!$F$2:$XFD$61,AO18+4,FALSE),0)</f>
        <v>0</v>
      </c>
      <c r="CX18">
        <f>IFERROR(VLOOKUP(CX$6,Hoja1!$F$2:$XFD$61,AP18+4,FALSE),0)</f>
        <v>0</v>
      </c>
      <c r="CY18">
        <f>IFERROR(VLOOKUP(CY$6,Hoja1!$F$2:$XFD$61,AQ18+4,FALSE),0)</f>
        <v>0</v>
      </c>
      <c r="CZ18">
        <f>IFERROR(VLOOKUP(CZ$6,Hoja1!$F$2:$XFD$61,AR18+4,FALSE),0)</f>
        <v>0</v>
      </c>
      <c r="DA18">
        <f>IFERROR(VLOOKUP(DA$6,Hoja1!$F$2:$XFD$61,AS18+4,FALSE),0)</f>
        <v>0</v>
      </c>
      <c r="DB18">
        <f>IFERROR(VLOOKUP(DB$6,Hoja1!$F$2:$XFD$61,AT18+4,FALSE),0)</f>
        <v>0</v>
      </c>
      <c r="DC18">
        <f>IFERROR(VLOOKUP(DC$6,Hoja1!$F$2:$XFD$61,AU18+4,FALSE),0)</f>
        <v>0</v>
      </c>
      <c r="DD18">
        <f>IFERROR(VLOOKUP(DD$6,Hoja1!$F$2:$XFD$61,AV18+4,FALSE),0)</f>
        <v>0</v>
      </c>
      <c r="DE18">
        <f>IFERROR(VLOOKUP(DE$6,Hoja1!$F$2:$XFD$61,AW18+4,FALSE),0)</f>
        <v>0</v>
      </c>
      <c r="DF18">
        <f>IFERROR(VLOOKUP(DF$6,Hoja1!$F$2:$XFD$61,AX18+4,FALSE),0)</f>
        <v>0</v>
      </c>
      <c r="DG18">
        <f>IFERROR(VLOOKUP(DG$6,Hoja1!$F$2:$XFD$61,AY18+4,FALSE),0)</f>
        <v>0</v>
      </c>
      <c r="DH18">
        <f>IFERROR(VLOOKUP(DH$6,Hoja1!$F$2:$XFD$61,AZ18+4,FALSE),0)</f>
        <v>0</v>
      </c>
      <c r="DI18">
        <f>IFERROR(VLOOKUP(DI$6,Hoja1!$F$2:$XFD$61,BA18+4,FALSE),0)</f>
        <v>0</v>
      </c>
      <c r="DJ18">
        <f>IFERROR(VLOOKUP(DJ$6,Hoja1!$F$2:$XFD$61,BB18+4,FALSE),0)</f>
        <v>0</v>
      </c>
      <c r="DK18">
        <f>IFERROR(VLOOKUP(DK$6,Hoja1!$F$2:$XFD$61,BC18+4,FALSE),0)</f>
        <v>0</v>
      </c>
      <c r="DL18">
        <f>IFERROR(VLOOKUP(DL$6,Hoja1!$F$2:$XFD$61,BD18+4,FALSE),0)</f>
        <v>0</v>
      </c>
      <c r="DM18">
        <f>IFERROR(VLOOKUP(DM$6,Hoja1!$F$2:$XFD$61,BE18+4,FALSE),0)</f>
        <v>0</v>
      </c>
      <c r="DN18">
        <f>IFERROR(VLOOKUP(DN$6,Hoja1!$F$2:$XFD$61,BF18+4,FALSE),0)</f>
        <v>0</v>
      </c>
      <c r="DO18">
        <f>IFERROR(VLOOKUP(DO$6,Hoja1!$F$2:$XFD$61,BG18+4,FALSE),0)</f>
        <v>0</v>
      </c>
      <c r="DP18">
        <f>IFERROR(VLOOKUP(DP$6,Hoja1!$F$2:$XFD$61,BH18+4,FALSE),0)</f>
        <v>0</v>
      </c>
      <c r="DQ18">
        <f>IFERROR(VLOOKUP(DQ$6,Hoja1!$F$2:$XFD$61,BI18+4,FALSE),0)</f>
        <v>0</v>
      </c>
      <c r="DR18">
        <f>IFERROR(VLOOKUP(DR$6,Hoja1!$F$2:$XFD$61,BJ18+4,FALSE),0)</f>
        <v>0</v>
      </c>
      <c r="DS18">
        <f>IFERROR(VLOOKUP(DS$6,Hoja1!$F$2:$XFD$61,BK18+4,FALSE),0)</f>
        <v>0</v>
      </c>
      <c r="DT18">
        <f>IFERROR(VLOOKUP(DT$6,Hoja1!$F$2:$XFD$61,BL18+4,FALSE),0)</f>
        <v>0</v>
      </c>
      <c r="DU18" s="15" t="str">
        <f t="shared" si="0"/>
        <v/>
      </c>
      <c r="DV18" s="16" t="str">
        <f>IF(D18&lt;&gt;"",IF(DU18="","",IF(DU18&gt;=$DU$7*Hoja1!$E$2,4+3/($DU$7*(1-Hoja1!$E$2))*(DU18-$DU$7*Hoja1!$E$2),1+3/($DU$7*Hoja1!$E$2)*DU18)),DU18)</f>
        <v/>
      </c>
      <c r="DW18" s="47" t="b">
        <v>0</v>
      </c>
    </row>
    <row r="19" spans="1:127" ht="23.25" customHeight="1" x14ac:dyDescent="0.25">
      <c r="A19" s="17">
        <v>10</v>
      </c>
      <c r="B19" s="18"/>
      <c r="C19" s="18"/>
      <c r="D19" s="1"/>
      <c r="E19" s="28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29"/>
      <c r="BM19">
        <f>IFERROR(VLOOKUP(BM$6,Hoja1!$F$2:$XFD$61,E19+4,FALSE),0)</f>
        <v>0</v>
      </c>
      <c r="BN19">
        <f>IFERROR(VLOOKUP(BN$6,Hoja1!$F$2:$XFD$61,F19+4,FALSE),0)</f>
        <v>0</v>
      </c>
      <c r="BO19">
        <f>IFERROR(VLOOKUP(BO$6,Hoja1!$F$2:$XFD$61,G19+4,FALSE),0)</f>
        <v>0</v>
      </c>
      <c r="BP19">
        <f>IFERROR(VLOOKUP(BP$6,Hoja1!$F$2:$XFD$61,H19+4,FALSE),0)</f>
        <v>0</v>
      </c>
      <c r="BQ19">
        <f>IFERROR(VLOOKUP(BQ$6,Hoja1!$F$2:$XFD$61,I19+4,FALSE),0)</f>
        <v>0</v>
      </c>
      <c r="BR19">
        <f>IFERROR(VLOOKUP(BR$6,Hoja1!$F$2:$XFD$61,J19+4,FALSE),0)</f>
        <v>0</v>
      </c>
      <c r="BS19">
        <f>IFERROR(VLOOKUP(BS$6,Hoja1!$F$2:$XFD$61,K19+4,FALSE),0)</f>
        <v>0</v>
      </c>
      <c r="BT19">
        <f>IFERROR(VLOOKUP(BT$6,Hoja1!$F$2:$XFD$61,L19+4,FALSE),0)</f>
        <v>0</v>
      </c>
      <c r="BU19">
        <f>IFERROR(VLOOKUP(BU$6,Hoja1!$F$2:$XFD$61,M19+4,FALSE),0)</f>
        <v>0</v>
      </c>
      <c r="BV19">
        <f>IFERROR(VLOOKUP(BV$6,Hoja1!$F$2:$XFD$61,N19+4,FALSE),0)</f>
        <v>0</v>
      </c>
      <c r="BW19">
        <f>IFERROR(VLOOKUP(BW$6,Hoja1!$F$2:$XFD$61,O19+4,FALSE),0)</f>
        <v>0</v>
      </c>
      <c r="BX19">
        <f>IFERROR(VLOOKUP(BX$6,Hoja1!$F$2:$XFD$61,P19+4,FALSE),0)</f>
        <v>0</v>
      </c>
      <c r="BY19">
        <f>IFERROR(VLOOKUP(BY$6,Hoja1!$F$2:$XFD$61,Q19+4,FALSE),0)</f>
        <v>0</v>
      </c>
      <c r="BZ19">
        <f>IFERROR(VLOOKUP(BZ$6,Hoja1!$F$2:$XFD$61,R19+4,FALSE),0)</f>
        <v>0</v>
      </c>
      <c r="CA19">
        <f>IFERROR(VLOOKUP(CA$6,Hoja1!$F$2:$XFD$61,S19+4,FALSE),0)</f>
        <v>0</v>
      </c>
      <c r="CB19">
        <f>IFERROR(VLOOKUP(CB$6,Hoja1!$F$2:$XFD$61,T19+4,FALSE),0)</f>
        <v>0</v>
      </c>
      <c r="CC19">
        <f>IFERROR(VLOOKUP(CC$6,Hoja1!$F$2:$XFD$61,U19+4,FALSE),0)</f>
        <v>0</v>
      </c>
      <c r="CD19">
        <f>IFERROR(VLOOKUP(CD$6,Hoja1!$F$2:$XFD$61,V19+4,FALSE),0)</f>
        <v>0</v>
      </c>
      <c r="CE19">
        <f>IFERROR(VLOOKUP(CE$6,Hoja1!$F$2:$XFD$61,W19+4,FALSE),0)</f>
        <v>0</v>
      </c>
      <c r="CF19">
        <f>IFERROR(VLOOKUP(CF$6,Hoja1!$F$2:$XFD$61,X19+4,FALSE),0)</f>
        <v>0</v>
      </c>
      <c r="CG19">
        <f>IFERROR(VLOOKUP(CG$6,Hoja1!$F$2:$XFD$61,Y19+4,FALSE),0)</f>
        <v>0</v>
      </c>
      <c r="CH19">
        <f>IFERROR(VLOOKUP(CH$6,Hoja1!$F$2:$XFD$61,Z19+4,FALSE),0)</f>
        <v>0</v>
      </c>
      <c r="CI19">
        <f>IFERROR(VLOOKUP(CI$6,Hoja1!$F$2:$XFD$61,AA19+4,FALSE),0)</f>
        <v>0</v>
      </c>
      <c r="CJ19">
        <f>IFERROR(VLOOKUP(CJ$6,Hoja1!$F$2:$XFD$61,AB19+4,FALSE),0)</f>
        <v>0</v>
      </c>
      <c r="CK19">
        <f>IFERROR(VLOOKUP(CK$6,Hoja1!$F$2:$XFD$61,AC19+4,FALSE),0)</f>
        <v>0</v>
      </c>
      <c r="CL19">
        <f>IFERROR(VLOOKUP(CL$6,Hoja1!$F$2:$XFD$61,AD19+4,FALSE),0)</f>
        <v>0</v>
      </c>
      <c r="CM19">
        <f>IFERROR(VLOOKUP(CM$6,Hoja1!$F$2:$XFD$61,AE19+4,FALSE),0)</f>
        <v>0</v>
      </c>
      <c r="CN19">
        <f>IFERROR(VLOOKUP(CN$6,Hoja1!$F$2:$XFD$61,AF19+4,FALSE),0)</f>
        <v>0</v>
      </c>
      <c r="CO19">
        <f>IFERROR(VLOOKUP(CO$6,Hoja1!$F$2:$XFD$61,AG19+4,FALSE),0)</f>
        <v>0</v>
      </c>
      <c r="CP19">
        <f>IFERROR(VLOOKUP(CP$6,Hoja1!$F$2:$XFD$61,AH19+4,FALSE),0)</f>
        <v>0</v>
      </c>
      <c r="CQ19">
        <f>IFERROR(VLOOKUP(CQ$6,Hoja1!$F$2:$XFD$61,AI19+4,FALSE),0)</f>
        <v>0</v>
      </c>
      <c r="CR19">
        <f>IFERROR(VLOOKUP(CR$6,Hoja1!$F$2:$XFD$61,AJ19+4,FALSE),0)</f>
        <v>0</v>
      </c>
      <c r="CS19">
        <f>IFERROR(VLOOKUP(CS$6,Hoja1!$F$2:$XFD$61,AK19+4,FALSE),0)</f>
        <v>0</v>
      </c>
      <c r="CT19">
        <f>IFERROR(VLOOKUP(CT$6,Hoja1!$F$2:$XFD$61,AL19+4,FALSE),0)</f>
        <v>0</v>
      </c>
      <c r="CU19">
        <f>IFERROR(VLOOKUP(CU$6,Hoja1!$F$2:$XFD$61,AM19+4,FALSE),0)</f>
        <v>0</v>
      </c>
      <c r="CV19">
        <f>IFERROR(VLOOKUP(CV$6,Hoja1!$F$2:$XFD$61,AN19+4,FALSE),0)</f>
        <v>0</v>
      </c>
      <c r="CW19">
        <f>IFERROR(VLOOKUP(CW$6,Hoja1!$F$2:$XFD$61,AO19+4,FALSE),0)</f>
        <v>0</v>
      </c>
      <c r="CX19">
        <f>IFERROR(VLOOKUP(CX$6,Hoja1!$F$2:$XFD$61,AP19+4,FALSE),0)</f>
        <v>0</v>
      </c>
      <c r="CY19">
        <f>IFERROR(VLOOKUP(CY$6,Hoja1!$F$2:$XFD$61,AQ19+4,FALSE),0)</f>
        <v>0</v>
      </c>
      <c r="CZ19">
        <f>IFERROR(VLOOKUP(CZ$6,Hoja1!$F$2:$XFD$61,AR19+4,FALSE),0)</f>
        <v>0</v>
      </c>
      <c r="DA19">
        <f>IFERROR(VLOOKUP(DA$6,Hoja1!$F$2:$XFD$61,AS19+4,FALSE),0)</f>
        <v>0</v>
      </c>
      <c r="DB19">
        <f>IFERROR(VLOOKUP(DB$6,Hoja1!$F$2:$XFD$61,AT19+4,FALSE),0)</f>
        <v>0</v>
      </c>
      <c r="DC19">
        <f>IFERROR(VLOOKUP(DC$6,Hoja1!$F$2:$XFD$61,AU19+4,FALSE),0)</f>
        <v>0</v>
      </c>
      <c r="DD19">
        <f>IFERROR(VLOOKUP(DD$6,Hoja1!$F$2:$XFD$61,AV19+4,FALSE),0)</f>
        <v>0</v>
      </c>
      <c r="DE19">
        <f>IFERROR(VLOOKUP(DE$6,Hoja1!$F$2:$XFD$61,AW19+4,FALSE),0)</f>
        <v>0</v>
      </c>
      <c r="DF19">
        <f>IFERROR(VLOOKUP(DF$6,Hoja1!$F$2:$XFD$61,AX19+4,FALSE),0)</f>
        <v>0</v>
      </c>
      <c r="DG19">
        <f>IFERROR(VLOOKUP(DG$6,Hoja1!$F$2:$XFD$61,AY19+4,FALSE),0)</f>
        <v>0</v>
      </c>
      <c r="DH19">
        <f>IFERROR(VLOOKUP(DH$6,Hoja1!$F$2:$XFD$61,AZ19+4,FALSE),0)</f>
        <v>0</v>
      </c>
      <c r="DI19">
        <f>IFERROR(VLOOKUP(DI$6,Hoja1!$F$2:$XFD$61,BA19+4,FALSE),0)</f>
        <v>0</v>
      </c>
      <c r="DJ19">
        <f>IFERROR(VLOOKUP(DJ$6,Hoja1!$F$2:$XFD$61,BB19+4,FALSE),0)</f>
        <v>0</v>
      </c>
      <c r="DK19">
        <f>IFERROR(VLOOKUP(DK$6,Hoja1!$F$2:$XFD$61,BC19+4,FALSE),0)</f>
        <v>0</v>
      </c>
      <c r="DL19">
        <f>IFERROR(VLOOKUP(DL$6,Hoja1!$F$2:$XFD$61,BD19+4,FALSE),0)</f>
        <v>0</v>
      </c>
      <c r="DM19">
        <f>IFERROR(VLOOKUP(DM$6,Hoja1!$F$2:$XFD$61,BE19+4,FALSE),0)</f>
        <v>0</v>
      </c>
      <c r="DN19">
        <f>IFERROR(VLOOKUP(DN$6,Hoja1!$F$2:$XFD$61,BF19+4,FALSE),0)</f>
        <v>0</v>
      </c>
      <c r="DO19">
        <f>IFERROR(VLOOKUP(DO$6,Hoja1!$F$2:$XFD$61,BG19+4,FALSE),0)</f>
        <v>0</v>
      </c>
      <c r="DP19">
        <f>IFERROR(VLOOKUP(DP$6,Hoja1!$F$2:$XFD$61,BH19+4,FALSE),0)</f>
        <v>0</v>
      </c>
      <c r="DQ19">
        <f>IFERROR(VLOOKUP(DQ$6,Hoja1!$F$2:$XFD$61,BI19+4,FALSE),0)</f>
        <v>0</v>
      </c>
      <c r="DR19">
        <f>IFERROR(VLOOKUP(DR$6,Hoja1!$F$2:$XFD$61,BJ19+4,FALSE),0)</f>
        <v>0</v>
      </c>
      <c r="DS19">
        <f>IFERROR(VLOOKUP(DS$6,Hoja1!$F$2:$XFD$61,BK19+4,FALSE),0)</f>
        <v>0</v>
      </c>
      <c r="DT19">
        <f>IFERROR(VLOOKUP(DT$6,Hoja1!$F$2:$XFD$61,BL19+4,FALSE),0)</f>
        <v>0</v>
      </c>
      <c r="DU19" s="15" t="str">
        <f t="shared" si="0"/>
        <v/>
      </c>
      <c r="DV19" s="16" t="str">
        <f>IF(D19&lt;&gt;"",IF(DU19="","",IF(DU19&gt;=$DU$7*Hoja1!$E$2,4+3/($DU$7*(1-Hoja1!$E$2))*(DU19-$DU$7*Hoja1!$E$2),1+3/($DU$7*Hoja1!$E$2)*DU19)),DU19)</f>
        <v/>
      </c>
      <c r="DW19" s="47" t="b">
        <v>0</v>
      </c>
    </row>
    <row r="20" spans="1:127" ht="23.25" customHeight="1" x14ac:dyDescent="0.25">
      <c r="A20" s="17">
        <v>11</v>
      </c>
      <c r="B20" s="18"/>
      <c r="C20" s="18"/>
      <c r="D20" s="1"/>
      <c r="E20" s="28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29"/>
      <c r="BM20">
        <f>IFERROR(VLOOKUP(BM$6,Hoja1!$F$2:$XFD$61,E20+4,FALSE),0)</f>
        <v>0</v>
      </c>
      <c r="BN20">
        <f>IFERROR(VLOOKUP(BN$6,Hoja1!$F$2:$XFD$61,F20+4,FALSE),0)</f>
        <v>0</v>
      </c>
      <c r="BO20">
        <f>IFERROR(VLOOKUP(BO$6,Hoja1!$F$2:$XFD$61,G20+4,FALSE),0)</f>
        <v>0</v>
      </c>
      <c r="BP20">
        <f>IFERROR(VLOOKUP(BP$6,Hoja1!$F$2:$XFD$61,H20+4,FALSE),0)</f>
        <v>0</v>
      </c>
      <c r="BQ20">
        <f>IFERROR(VLOOKUP(BQ$6,Hoja1!$F$2:$XFD$61,I20+4,FALSE),0)</f>
        <v>0</v>
      </c>
      <c r="BR20">
        <f>IFERROR(VLOOKUP(BR$6,Hoja1!$F$2:$XFD$61,J20+4,FALSE),0)</f>
        <v>0</v>
      </c>
      <c r="BS20">
        <f>IFERROR(VLOOKUP(BS$6,Hoja1!$F$2:$XFD$61,K20+4,FALSE),0)</f>
        <v>0</v>
      </c>
      <c r="BT20">
        <f>IFERROR(VLOOKUP(BT$6,Hoja1!$F$2:$XFD$61,L20+4,FALSE),0)</f>
        <v>0</v>
      </c>
      <c r="BU20">
        <f>IFERROR(VLOOKUP(BU$6,Hoja1!$F$2:$XFD$61,M20+4,FALSE),0)</f>
        <v>0</v>
      </c>
      <c r="BV20">
        <f>IFERROR(VLOOKUP(BV$6,Hoja1!$F$2:$XFD$61,N20+4,FALSE),0)</f>
        <v>0</v>
      </c>
      <c r="BW20">
        <f>IFERROR(VLOOKUP(BW$6,Hoja1!$F$2:$XFD$61,O20+4,FALSE),0)</f>
        <v>0</v>
      </c>
      <c r="BX20">
        <f>IFERROR(VLOOKUP(BX$6,Hoja1!$F$2:$XFD$61,P20+4,FALSE),0)</f>
        <v>0</v>
      </c>
      <c r="BY20">
        <f>IFERROR(VLOOKUP(BY$6,Hoja1!$F$2:$XFD$61,Q20+4,FALSE),0)</f>
        <v>0</v>
      </c>
      <c r="BZ20">
        <f>IFERROR(VLOOKUP(BZ$6,Hoja1!$F$2:$XFD$61,R20+4,FALSE),0)</f>
        <v>0</v>
      </c>
      <c r="CA20">
        <f>IFERROR(VLOOKUP(CA$6,Hoja1!$F$2:$XFD$61,S20+4,FALSE),0)</f>
        <v>0</v>
      </c>
      <c r="CB20">
        <f>IFERROR(VLOOKUP(CB$6,Hoja1!$F$2:$XFD$61,T20+4,FALSE),0)</f>
        <v>0</v>
      </c>
      <c r="CC20">
        <f>IFERROR(VLOOKUP(CC$6,Hoja1!$F$2:$XFD$61,U20+4,FALSE),0)</f>
        <v>0</v>
      </c>
      <c r="CD20">
        <f>IFERROR(VLOOKUP(CD$6,Hoja1!$F$2:$XFD$61,V20+4,FALSE),0)</f>
        <v>0</v>
      </c>
      <c r="CE20">
        <f>IFERROR(VLOOKUP(CE$6,Hoja1!$F$2:$XFD$61,W20+4,FALSE),0)</f>
        <v>0</v>
      </c>
      <c r="CF20">
        <f>IFERROR(VLOOKUP(CF$6,Hoja1!$F$2:$XFD$61,X20+4,FALSE),0)</f>
        <v>0</v>
      </c>
      <c r="CG20">
        <f>IFERROR(VLOOKUP(CG$6,Hoja1!$F$2:$XFD$61,Y20+4,FALSE),0)</f>
        <v>0</v>
      </c>
      <c r="CH20">
        <f>IFERROR(VLOOKUP(CH$6,Hoja1!$F$2:$XFD$61,Z20+4,FALSE),0)</f>
        <v>0</v>
      </c>
      <c r="CI20">
        <f>IFERROR(VLOOKUP(CI$6,Hoja1!$F$2:$XFD$61,AA20+4,FALSE),0)</f>
        <v>0</v>
      </c>
      <c r="CJ20">
        <f>IFERROR(VLOOKUP(CJ$6,Hoja1!$F$2:$XFD$61,AB20+4,FALSE),0)</f>
        <v>0</v>
      </c>
      <c r="CK20">
        <f>IFERROR(VLOOKUP(CK$6,Hoja1!$F$2:$XFD$61,AC20+4,FALSE),0)</f>
        <v>0</v>
      </c>
      <c r="CL20">
        <f>IFERROR(VLOOKUP(CL$6,Hoja1!$F$2:$XFD$61,AD20+4,FALSE),0)</f>
        <v>0</v>
      </c>
      <c r="CM20">
        <f>IFERROR(VLOOKUP(CM$6,Hoja1!$F$2:$XFD$61,AE20+4,FALSE),0)</f>
        <v>0</v>
      </c>
      <c r="CN20">
        <f>IFERROR(VLOOKUP(CN$6,Hoja1!$F$2:$XFD$61,AF20+4,FALSE),0)</f>
        <v>0</v>
      </c>
      <c r="CO20">
        <f>IFERROR(VLOOKUP(CO$6,Hoja1!$F$2:$XFD$61,AG20+4,FALSE),0)</f>
        <v>0</v>
      </c>
      <c r="CP20">
        <f>IFERROR(VLOOKUP(CP$6,Hoja1!$F$2:$XFD$61,AH20+4,FALSE),0)</f>
        <v>0</v>
      </c>
      <c r="CQ20">
        <f>IFERROR(VLOOKUP(CQ$6,Hoja1!$F$2:$XFD$61,AI20+4,FALSE),0)</f>
        <v>0</v>
      </c>
      <c r="CR20">
        <f>IFERROR(VLOOKUP(CR$6,Hoja1!$F$2:$XFD$61,AJ20+4,FALSE),0)</f>
        <v>0</v>
      </c>
      <c r="CS20">
        <f>IFERROR(VLOOKUP(CS$6,Hoja1!$F$2:$XFD$61,AK20+4,FALSE),0)</f>
        <v>0</v>
      </c>
      <c r="CT20">
        <f>IFERROR(VLOOKUP(CT$6,Hoja1!$F$2:$XFD$61,AL20+4,FALSE),0)</f>
        <v>0</v>
      </c>
      <c r="CU20">
        <f>IFERROR(VLOOKUP(CU$6,Hoja1!$F$2:$XFD$61,AM20+4,FALSE),0)</f>
        <v>0</v>
      </c>
      <c r="CV20">
        <f>IFERROR(VLOOKUP(CV$6,Hoja1!$F$2:$XFD$61,AN20+4,FALSE),0)</f>
        <v>0</v>
      </c>
      <c r="CW20">
        <f>IFERROR(VLOOKUP(CW$6,Hoja1!$F$2:$XFD$61,AO20+4,FALSE),0)</f>
        <v>0</v>
      </c>
      <c r="CX20">
        <f>IFERROR(VLOOKUP(CX$6,Hoja1!$F$2:$XFD$61,AP20+4,FALSE),0)</f>
        <v>0</v>
      </c>
      <c r="CY20">
        <f>IFERROR(VLOOKUP(CY$6,Hoja1!$F$2:$XFD$61,AQ20+4,FALSE),0)</f>
        <v>0</v>
      </c>
      <c r="CZ20">
        <f>IFERROR(VLOOKUP(CZ$6,Hoja1!$F$2:$XFD$61,AR20+4,FALSE),0)</f>
        <v>0</v>
      </c>
      <c r="DA20">
        <f>IFERROR(VLOOKUP(DA$6,Hoja1!$F$2:$XFD$61,AS20+4,FALSE),0)</f>
        <v>0</v>
      </c>
      <c r="DB20">
        <f>IFERROR(VLOOKUP(DB$6,Hoja1!$F$2:$XFD$61,AT20+4,FALSE),0)</f>
        <v>0</v>
      </c>
      <c r="DC20">
        <f>IFERROR(VLOOKUP(DC$6,Hoja1!$F$2:$XFD$61,AU20+4,FALSE),0)</f>
        <v>0</v>
      </c>
      <c r="DD20">
        <f>IFERROR(VLOOKUP(DD$6,Hoja1!$F$2:$XFD$61,AV20+4,FALSE),0)</f>
        <v>0</v>
      </c>
      <c r="DE20">
        <f>IFERROR(VLOOKUP(DE$6,Hoja1!$F$2:$XFD$61,AW20+4,FALSE),0)</f>
        <v>0</v>
      </c>
      <c r="DF20">
        <f>IFERROR(VLOOKUP(DF$6,Hoja1!$F$2:$XFD$61,AX20+4,FALSE),0)</f>
        <v>0</v>
      </c>
      <c r="DG20">
        <f>IFERROR(VLOOKUP(DG$6,Hoja1!$F$2:$XFD$61,AY20+4,FALSE),0)</f>
        <v>0</v>
      </c>
      <c r="DH20">
        <f>IFERROR(VLOOKUP(DH$6,Hoja1!$F$2:$XFD$61,AZ20+4,FALSE),0)</f>
        <v>0</v>
      </c>
      <c r="DI20">
        <f>IFERROR(VLOOKUP(DI$6,Hoja1!$F$2:$XFD$61,BA20+4,FALSE),0)</f>
        <v>0</v>
      </c>
      <c r="DJ20">
        <f>IFERROR(VLOOKUP(DJ$6,Hoja1!$F$2:$XFD$61,BB20+4,FALSE),0)</f>
        <v>0</v>
      </c>
      <c r="DK20">
        <f>IFERROR(VLOOKUP(DK$6,Hoja1!$F$2:$XFD$61,BC20+4,FALSE),0)</f>
        <v>0</v>
      </c>
      <c r="DL20">
        <f>IFERROR(VLOOKUP(DL$6,Hoja1!$F$2:$XFD$61,BD20+4,FALSE),0)</f>
        <v>0</v>
      </c>
      <c r="DM20">
        <f>IFERROR(VLOOKUP(DM$6,Hoja1!$F$2:$XFD$61,BE20+4,FALSE),0)</f>
        <v>0</v>
      </c>
      <c r="DN20">
        <f>IFERROR(VLOOKUP(DN$6,Hoja1!$F$2:$XFD$61,BF20+4,FALSE),0)</f>
        <v>0</v>
      </c>
      <c r="DO20">
        <f>IFERROR(VLOOKUP(DO$6,Hoja1!$F$2:$XFD$61,BG20+4,FALSE),0)</f>
        <v>0</v>
      </c>
      <c r="DP20">
        <f>IFERROR(VLOOKUP(DP$6,Hoja1!$F$2:$XFD$61,BH20+4,FALSE),0)</f>
        <v>0</v>
      </c>
      <c r="DQ20">
        <f>IFERROR(VLOOKUP(DQ$6,Hoja1!$F$2:$XFD$61,BI20+4,FALSE),0)</f>
        <v>0</v>
      </c>
      <c r="DR20">
        <f>IFERROR(VLOOKUP(DR$6,Hoja1!$F$2:$XFD$61,BJ20+4,FALSE),0)</f>
        <v>0</v>
      </c>
      <c r="DS20">
        <f>IFERROR(VLOOKUP(DS$6,Hoja1!$F$2:$XFD$61,BK20+4,FALSE),0)</f>
        <v>0</v>
      </c>
      <c r="DT20">
        <f>IFERROR(VLOOKUP(DT$6,Hoja1!$F$2:$XFD$61,BL20+4,FALSE),0)</f>
        <v>0</v>
      </c>
      <c r="DU20" s="15" t="str">
        <f t="shared" si="0"/>
        <v/>
      </c>
      <c r="DV20" s="16" t="str">
        <f>IF(D20&lt;&gt;"",IF(DU20="","",IF(DU20&gt;=$DU$7*Hoja1!$E$2,4+3/($DU$7*(1-Hoja1!$E$2))*(DU20-$DU$7*Hoja1!$E$2),1+3/($DU$7*Hoja1!$E$2)*DU20)),DU20)</f>
        <v/>
      </c>
      <c r="DW20" s="47" t="b">
        <v>0</v>
      </c>
    </row>
    <row r="21" spans="1:127" ht="23.25" customHeight="1" x14ac:dyDescent="0.25">
      <c r="A21" s="17">
        <v>12</v>
      </c>
      <c r="B21" s="18"/>
      <c r="C21" s="18"/>
      <c r="D21" s="1"/>
      <c r="E21" s="28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29"/>
      <c r="BM21">
        <f>IFERROR(VLOOKUP(BM$6,Hoja1!$F$2:$XFD$61,E21+4,FALSE),0)</f>
        <v>0</v>
      </c>
      <c r="BN21">
        <f>IFERROR(VLOOKUP(BN$6,Hoja1!$F$2:$XFD$61,F21+4,FALSE),0)</f>
        <v>0</v>
      </c>
      <c r="BO21">
        <f>IFERROR(VLOOKUP(BO$6,Hoja1!$F$2:$XFD$61,G21+4,FALSE),0)</f>
        <v>0</v>
      </c>
      <c r="BP21">
        <f>IFERROR(VLOOKUP(BP$6,Hoja1!$F$2:$XFD$61,H21+4,FALSE),0)</f>
        <v>0</v>
      </c>
      <c r="BQ21">
        <f>IFERROR(VLOOKUP(BQ$6,Hoja1!$F$2:$XFD$61,I21+4,FALSE),0)</f>
        <v>0</v>
      </c>
      <c r="BR21">
        <f>IFERROR(VLOOKUP(BR$6,Hoja1!$F$2:$XFD$61,J21+4,FALSE),0)</f>
        <v>0</v>
      </c>
      <c r="BS21">
        <f>IFERROR(VLOOKUP(BS$6,Hoja1!$F$2:$XFD$61,K21+4,FALSE),0)</f>
        <v>0</v>
      </c>
      <c r="BT21">
        <f>IFERROR(VLOOKUP(BT$6,Hoja1!$F$2:$XFD$61,L21+4,FALSE),0)</f>
        <v>0</v>
      </c>
      <c r="BU21">
        <f>IFERROR(VLOOKUP(BU$6,Hoja1!$F$2:$XFD$61,M21+4,FALSE),0)</f>
        <v>0</v>
      </c>
      <c r="BV21">
        <f>IFERROR(VLOOKUP(BV$6,Hoja1!$F$2:$XFD$61,N21+4,FALSE),0)</f>
        <v>0</v>
      </c>
      <c r="BW21">
        <f>IFERROR(VLOOKUP(BW$6,Hoja1!$F$2:$XFD$61,O21+4,FALSE),0)</f>
        <v>0</v>
      </c>
      <c r="BX21">
        <f>IFERROR(VLOOKUP(BX$6,Hoja1!$F$2:$XFD$61,P21+4,FALSE),0)</f>
        <v>0</v>
      </c>
      <c r="BY21">
        <f>IFERROR(VLOOKUP(BY$6,Hoja1!$F$2:$XFD$61,Q21+4,FALSE),0)</f>
        <v>0</v>
      </c>
      <c r="BZ21">
        <f>IFERROR(VLOOKUP(BZ$6,Hoja1!$F$2:$XFD$61,R21+4,FALSE),0)</f>
        <v>0</v>
      </c>
      <c r="CA21">
        <f>IFERROR(VLOOKUP(CA$6,Hoja1!$F$2:$XFD$61,S21+4,FALSE),0)</f>
        <v>0</v>
      </c>
      <c r="CB21">
        <f>IFERROR(VLOOKUP(CB$6,Hoja1!$F$2:$XFD$61,T21+4,FALSE),0)</f>
        <v>0</v>
      </c>
      <c r="CC21">
        <f>IFERROR(VLOOKUP(CC$6,Hoja1!$F$2:$XFD$61,U21+4,FALSE),0)</f>
        <v>0</v>
      </c>
      <c r="CD21">
        <f>IFERROR(VLOOKUP(CD$6,Hoja1!$F$2:$XFD$61,V21+4,FALSE),0)</f>
        <v>0</v>
      </c>
      <c r="CE21">
        <f>IFERROR(VLOOKUP(CE$6,Hoja1!$F$2:$XFD$61,W21+4,FALSE),0)</f>
        <v>0</v>
      </c>
      <c r="CF21">
        <f>IFERROR(VLOOKUP(CF$6,Hoja1!$F$2:$XFD$61,X21+4,FALSE),0)</f>
        <v>0</v>
      </c>
      <c r="CG21">
        <f>IFERROR(VLOOKUP(CG$6,Hoja1!$F$2:$XFD$61,Y21+4,FALSE),0)</f>
        <v>0</v>
      </c>
      <c r="CH21">
        <f>IFERROR(VLOOKUP(CH$6,Hoja1!$F$2:$XFD$61,Z21+4,FALSE),0)</f>
        <v>0</v>
      </c>
      <c r="CI21">
        <f>IFERROR(VLOOKUP(CI$6,Hoja1!$F$2:$XFD$61,AA21+4,FALSE),0)</f>
        <v>0</v>
      </c>
      <c r="CJ21">
        <f>IFERROR(VLOOKUP(CJ$6,Hoja1!$F$2:$XFD$61,AB21+4,FALSE),0)</f>
        <v>0</v>
      </c>
      <c r="CK21">
        <f>IFERROR(VLOOKUP(CK$6,Hoja1!$F$2:$XFD$61,AC21+4,FALSE),0)</f>
        <v>0</v>
      </c>
      <c r="CL21">
        <f>IFERROR(VLOOKUP(CL$6,Hoja1!$F$2:$XFD$61,AD21+4,FALSE),0)</f>
        <v>0</v>
      </c>
      <c r="CM21">
        <f>IFERROR(VLOOKUP(CM$6,Hoja1!$F$2:$XFD$61,AE21+4,FALSE),0)</f>
        <v>0</v>
      </c>
      <c r="CN21">
        <f>IFERROR(VLOOKUP(CN$6,Hoja1!$F$2:$XFD$61,AF21+4,FALSE),0)</f>
        <v>0</v>
      </c>
      <c r="CO21">
        <f>IFERROR(VLOOKUP(CO$6,Hoja1!$F$2:$XFD$61,AG21+4,FALSE),0)</f>
        <v>0</v>
      </c>
      <c r="CP21">
        <f>IFERROR(VLOOKUP(CP$6,Hoja1!$F$2:$XFD$61,AH21+4,FALSE),0)</f>
        <v>0</v>
      </c>
      <c r="CQ21">
        <f>IFERROR(VLOOKUP(CQ$6,Hoja1!$F$2:$XFD$61,AI21+4,FALSE),0)</f>
        <v>0</v>
      </c>
      <c r="CR21">
        <f>IFERROR(VLOOKUP(CR$6,Hoja1!$F$2:$XFD$61,AJ21+4,FALSE),0)</f>
        <v>0</v>
      </c>
      <c r="CS21">
        <f>IFERROR(VLOOKUP(CS$6,Hoja1!$F$2:$XFD$61,AK21+4,FALSE),0)</f>
        <v>0</v>
      </c>
      <c r="CT21">
        <f>IFERROR(VLOOKUP(CT$6,Hoja1!$F$2:$XFD$61,AL21+4,FALSE),0)</f>
        <v>0</v>
      </c>
      <c r="CU21">
        <f>IFERROR(VLOOKUP(CU$6,Hoja1!$F$2:$XFD$61,AM21+4,FALSE),0)</f>
        <v>0</v>
      </c>
      <c r="CV21">
        <f>IFERROR(VLOOKUP(CV$6,Hoja1!$F$2:$XFD$61,AN21+4,FALSE),0)</f>
        <v>0</v>
      </c>
      <c r="CW21">
        <f>IFERROR(VLOOKUP(CW$6,Hoja1!$F$2:$XFD$61,AO21+4,FALSE),0)</f>
        <v>0</v>
      </c>
      <c r="CX21">
        <f>IFERROR(VLOOKUP(CX$6,Hoja1!$F$2:$XFD$61,AP21+4,FALSE),0)</f>
        <v>0</v>
      </c>
      <c r="CY21">
        <f>IFERROR(VLOOKUP(CY$6,Hoja1!$F$2:$XFD$61,AQ21+4,FALSE),0)</f>
        <v>0</v>
      </c>
      <c r="CZ21">
        <f>IFERROR(VLOOKUP(CZ$6,Hoja1!$F$2:$XFD$61,AR21+4,FALSE),0)</f>
        <v>0</v>
      </c>
      <c r="DA21">
        <f>IFERROR(VLOOKUP(DA$6,Hoja1!$F$2:$XFD$61,AS21+4,FALSE),0)</f>
        <v>0</v>
      </c>
      <c r="DB21">
        <f>IFERROR(VLOOKUP(DB$6,Hoja1!$F$2:$XFD$61,AT21+4,FALSE),0)</f>
        <v>0</v>
      </c>
      <c r="DC21">
        <f>IFERROR(VLOOKUP(DC$6,Hoja1!$F$2:$XFD$61,AU21+4,FALSE),0)</f>
        <v>0</v>
      </c>
      <c r="DD21">
        <f>IFERROR(VLOOKUP(DD$6,Hoja1!$F$2:$XFD$61,AV21+4,FALSE),0)</f>
        <v>0</v>
      </c>
      <c r="DE21">
        <f>IFERROR(VLOOKUP(DE$6,Hoja1!$F$2:$XFD$61,AW21+4,FALSE),0)</f>
        <v>0</v>
      </c>
      <c r="DF21">
        <f>IFERROR(VLOOKUP(DF$6,Hoja1!$F$2:$XFD$61,AX21+4,FALSE),0)</f>
        <v>0</v>
      </c>
      <c r="DG21">
        <f>IFERROR(VLOOKUP(DG$6,Hoja1!$F$2:$XFD$61,AY21+4,FALSE),0)</f>
        <v>0</v>
      </c>
      <c r="DH21">
        <f>IFERROR(VLOOKUP(DH$6,Hoja1!$F$2:$XFD$61,AZ21+4,FALSE),0)</f>
        <v>0</v>
      </c>
      <c r="DI21">
        <f>IFERROR(VLOOKUP(DI$6,Hoja1!$F$2:$XFD$61,BA21+4,FALSE),0)</f>
        <v>0</v>
      </c>
      <c r="DJ21">
        <f>IFERROR(VLOOKUP(DJ$6,Hoja1!$F$2:$XFD$61,BB21+4,FALSE),0)</f>
        <v>0</v>
      </c>
      <c r="DK21">
        <f>IFERROR(VLOOKUP(DK$6,Hoja1!$F$2:$XFD$61,BC21+4,FALSE),0)</f>
        <v>0</v>
      </c>
      <c r="DL21">
        <f>IFERROR(VLOOKUP(DL$6,Hoja1!$F$2:$XFD$61,BD21+4,FALSE),0)</f>
        <v>0</v>
      </c>
      <c r="DM21">
        <f>IFERROR(VLOOKUP(DM$6,Hoja1!$F$2:$XFD$61,BE21+4,FALSE),0)</f>
        <v>0</v>
      </c>
      <c r="DN21">
        <f>IFERROR(VLOOKUP(DN$6,Hoja1!$F$2:$XFD$61,BF21+4,FALSE),0)</f>
        <v>0</v>
      </c>
      <c r="DO21">
        <f>IFERROR(VLOOKUP(DO$6,Hoja1!$F$2:$XFD$61,BG21+4,FALSE),0)</f>
        <v>0</v>
      </c>
      <c r="DP21">
        <f>IFERROR(VLOOKUP(DP$6,Hoja1!$F$2:$XFD$61,BH21+4,FALSE),0)</f>
        <v>0</v>
      </c>
      <c r="DQ21">
        <f>IFERROR(VLOOKUP(DQ$6,Hoja1!$F$2:$XFD$61,BI21+4,FALSE),0)</f>
        <v>0</v>
      </c>
      <c r="DR21">
        <f>IFERROR(VLOOKUP(DR$6,Hoja1!$F$2:$XFD$61,BJ21+4,FALSE),0)</f>
        <v>0</v>
      </c>
      <c r="DS21">
        <f>IFERROR(VLOOKUP(DS$6,Hoja1!$F$2:$XFD$61,BK21+4,FALSE),0)</f>
        <v>0</v>
      </c>
      <c r="DT21">
        <f>IFERROR(VLOOKUP(DT$6,Hoja1!$F$2:$XFD$61,BL21+4,FALSE),0)</f>
        <v>0</v>
      </c>
      <c r="DU21" s="15" t="str">
        <f t="shared" si="0"/>
        <v/>
      </c>
      <c r="DV21" s="16" t="str">
        <f>IF(D21&lt;&gt;"",IF(DU21="","",IF(DU21&gt;=$DU$7*Hoja1!$E$2,4+3/($DU$7*(1-Hoja1!$E$2))*(DU21-$DU$7*Hoja1!$E$2),1+3/($DU$7*Hoja1!$E$2)*DU21)),DU21)</f>
        <v/>
      </c>
      <c r="DW21" s="47" t="b">
        <v>0</v>
      </c>
    </row>
    <row r="22" spans="1:127" ht="23.25" customHeight="1" x14ac:dyDescent="0.25">
      <c r="A22" s="17">
        <v>13</v>
      </c>
      <c r="B22" s="18"/>
      <c r="C22" s="18"/>
      <c r="D22" s="1"/>
      <c r="E22" s="28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29"/>
      <c r="BM22">
        <f>IFERROR(VLOOKUP(BM$6,Hoja1!$F$2:$XFD$61,E22+4,FALSE),0)</f>
        <v>0</v>
      </c>
      <c r="BN22">
        <f>IFERROR(VLOOKUP(BN$6,Hoja1!$F$2:$XFD$61,F22+4,FALSE),0)</f>
        <v>0</v>
      </c>
      <c r="BO22">
        <f>IFERROR(VLOOKUP(BO$6,Hoja1!$F$2:$XFD$61,G22+4,FALSE),0)</f>
        <v>0</v>
      </c>
      <c r="BP22">
        <f>IFERROR(VLOOKUP(BP$6,Hoja1!$F$2:$XFD$61,H22+4,FALSE),0)</f>
        <v>0</v>
      </c>
      <c r="BQ22">
        <f>IFERROR(VLOOKUP(BQ$6,Hoja1!$F$2:$XFD$61,I22+4,FALSE),0)</f>
        <v>0</v>
      </c>
      <c r="BR22">
        <f>IFERROR(VLOOKUP(BR$6,Hoja1!$F$2:$XFD$61,J22+4,FALSE),0)</f>
        <v>0</v>
      </c>
      <c r="BS22">
        <f>IFERROR(VLOOKUP(BS$6,Hoja1!$F$2:$XFD$61,K22+4,FALSE),0)</f>
        <v>0</v>
      </c>
      <c r="BT22">
        <f>IFERROR(VLOOKUP(BT$6,Hoja1!$F$2:$XFD$61,L22+4,FALSE),0)</f>
        <v>0</v>
      </c>
      <c r="BU22">
        <f>IFERROR(VLOOKUP(BU$6,Hoja1!$F$2:$XFD$61,M22+4,FALSE),0)</f>
        <v>0</v>
      </c>
      <c r="BV22">
        <f>IFERROR(VLOOKUP(BV$6,Hoja1!$F$2:$XFD$61,N22+4,FALSE),0)</f>
        <v>0</v>
      </c>
      <c r="BW22">
        <f>IFERROR(VLOOKUP(BW$6,Hoja1!$F$2:$XFD$61,O22+4,FALSE),0)</f>
        <v>0</v>
      </c>
      <c r="BX22">
        <f>IFERROR(VLOOKUP(BX$6,Hoja1!$F$2:$XFD$61,P22+4,FALSE),0)</f>
        <v>0</v>
      </c>
      <c r="BY22">
        <f>IFERROR(VLOOKUP(BY$6,Hoja1!$F$2:$XFD$61,Q22+4,FALSE),0)</f>
        <v>0</v>
      </c>
      <c r="BZ22">
        <f>IFERROR(VLOOKUP(BZ$6,Hoja1!$F$2:$XFD$61,R22+4,FALSE),0)</f>
        <v>0</v>
      </c>
      <c r="CA22">
        <f>IFERROR(VLOOKUP(CA$6,Hoja1!$F$2:$XFD$61,S22+4,FALSE),0)</f>
        <v>0</v>
      </c>
      <c r="CB22">
        <f>IFERROR(VLOOKUP(CB$6,Hoja1!$F$2:$XFD$61,T22+4,FALSE),0)</f>
        <v>0</v>
      </c>
      <c r="CC22">
        <f>IFERROR(VLOOKUP(CC$6,Hoja1!$F$2:$XFD$61,U22+4,FALSE),0)</f>
        <v>0</v>
      </c>
      <c r="CD22">
        <f>IFERROR(VLOOKUP(CD$6,Hoja1!$F$2:$XFD$61,V22+4,FALSE),0)</f>
        <v>0</v>
      </c>
      <c r="CE22">
        <f>IFERROR(VLOOKUP(CE$6,Hoja1!$F$2:$XFD$61,W22+4,FALSE),0)</f>
        <v>0</v>
      </c>
      <c r="CF22">
        <f>IFERROR(VLOOKUP(CF$6,Hoja1!$F$2:$XFD$61,X22+4,FALSE),0)</f>
        <v>0</v>
      </c>
      <c r="CG22">
        <f>IFERROR(VLOOKUP(CG$6,Hoja1!$F$2:$XFD$61,Y22+4,FALSE),0)</f>
        <v>0</v>
      </c>
      <c r="CH22">
        <f>IFERROR(VLOOKUP(CH$6,Hoja1!$F$2:$XFD$61,Z22+4,FALSE),0)</f>
        <v>0</v>
      </c>
      <c r="CI22">
        <f>IFERROR(VLOOKUP(CI$6,Hoja1!$F$2:$XFD$61,AA22+4,FALSE),0)</f>
        <v>0</v>
      </c>
      <c r="CJ22">
        <f>IFERROR(VLOOKUP(CJ$6,Hoja1!$F$2:$XFD$61,AB22+4,FALSE),0)</f>
        <v>0</v>
      </c>
      <c r="CK22">
        <f>IFERROR(VLOOKUP(CK$6,Hoja1!$F$2:$XFD$61,AC22+4,FALSE),0)</f>
        <v>0</v>
      </c>
      <c r="CL22">
        <f>IFERROR(VLOOKUP(CL$6,Hoja1!$F$2:$XFD$61,AD22+4,FALSE),0)</f>
        <v>0</v>
      </c>
      <c r="CM22">
        <f>IFERROR(VLOOKUP(CM$6,Hoja1!$F$2:$XFD$61,AE22+4,FALSE),0)</f>
        <v>0</v>
      </c>
      <c r="CN22">
        <f>IFERROR(VLOOKUP(CN$6,Hoja1!$F$2:$XFD$61,AF22+4,FALSE),0)</f>
        <v>0</v>
      </c>
      <c r="CO22">
        <f>IFERROR(VLOOKUP(CO$6,Hoja1!$F$2:$XFD$61,AG22+4,FALSE),0)</f>
        <v>0</v>
      </c>
      <c r="CP22">
        <f>IFERROR(VLOOKUP(CP$6,Hoja1!$F$2:$XFD$61,AH22+4,FALSE),0)</f>
        <v>0</v>
      </c>
      <c r="CQ22">
        <f>IFERROR(VLOOKUP(CQ$6,Hoja1!$F$2:$XFD$61,AI22+4,FALSE),0)</f>
        <v>0</v>
      </c>
      <c r="CR22">
        <f>IFERROR(VLOOKUP(CR$6,Hoja1!$F$2:$XFD$61,AJ22+4,FALSE),0)</f>
        <v>0</v>
      </c>
      <c r="CS22">
        <f>IFERROR(VLOOKUP(CS$6,Hoja1!$F$2:$XFD$61,AK22+4,FALSE),0)</f>
        <v>0</v>
      </c>
      <c r="CT22">
        <f>IFERROR(VLOOKUP(CT$6,Hoja1!$F$2:$XFD$61,AL22+4,FALSE),0)</f>
        <v>0</v>
      </c>
      <c r="CU22">
        <f>IFERROR(VLOOKUP(CU$6,Hoja1!$F$2:$XFD$61,AM22+4,FALSE),0)</f>
        <v>0</v>
      </c>
      <c r="CV22">
        <f>IFERROR(VLOOKUP(CV$6,Hoja1!$F$2:$XFD$61,AN22+4,FALSE),0)</f>
        <v>0</v>
      </c>
      <c r="CW22">
        <f>IFERROR(VLOOKUP(CW$6,Hoja1!$F$2:$XFD$61,AO22+4,FALSE),0)</f>
        <v>0</v>
      </c>
      <c r="CX22">
        <f>IFERROR(VLOOKUP(CX$6,Hoja1!$F$2:$XFD$61,AP22+4,FALSE),0)</f>
        <v>0</v>
      </c>
      <c r="CY22">
        <f>IFERROR(VLOOKUP(CY$6,Hoja1!$F$2:$XFD$61,AQ22+4,FALSE),0)</f>
        <v>0</v>
      </c>
      <c r="CZ22">
        <f>IFERROR(VLOOKUP(CZ$6,Hoja1!$F$2:$XFD$61,AR22+4,FALSE),0)</f>
        <v>0</v>
      </c>
      <c r="DA22">
        <f>IFERROR(VLOOKUP(DA$6,Hoja1!$F$2:$XFD$61,AS22+4,FALSE),0)</f>
        <v>0</v>
      </c>
      <c r="DB22">
        <f>IFERROR(VLOOKUP(DB$6,Hoja1!$F$2:$XFD$61,AT22+4,FALSE),0)</f>
        <v>0</v>
      </c>
      <c r="DC22">
        <f>IFERROR(VLOOKUP(DC$6,Hoja1!$F$2:$XFD$61,AU22+4,FALSE),0)</f>
        <v>0</v>
      </c>
      <c r="DD22">
        <f>IFERROR(VLOOKUP(DD$6,Hoja1!$F$2:$XFD$61,AV22+4,FALSE),0)</f>
        <v>0</v>
      </c>
      <c r="DE22">
        <f>IFERROR(VLOOKUP(DE$6,Hoja1!$F$2:$XFD$61,AW22+4,FALSE),0)</f>
        <v>0</v>
      </c>
      <c r="DF22">
        <f>IFERROR(VLOOKUP(DF$6,Hoja1!$F$2:$XFD$61,AX22+4,FALSE),0)</f>
        <v>0</v>
      </c>
      <c r="DG22">
        <f>IFERROR(VLOOKUP(DG$6,Hoja1!$F$2:$XFD$61,AY22+4,FALSE),0)</f>
        <v>0</v>
      </c>
      <c r="DH22">
        <f>IFERROR(VLOOKUP(DH$6,Hoja1!$F$2:$XFD$61,AZ22+4,FALSE),0)</f>
        <v>0</v>
      </c>
      <c r="DI22">
        <f>IFERROR(VLOOKUP(DI$6,Hoja1!$F$2:$XFD$61,BA22+4,FALSE),0)</f>
        <v>0</v>
      </c>
      <c r="DJ22">
        <f>IFERROR(VLOOKUP(DJ$6,Hoja1!$F$2:$XFD$61,BB22+4,FALSE),0)</f>
        <v>0</v>
      </c>
      <c r="DK22">
        <f>IFERROR(VLOOKUP(DK$6,Hoja1!$F$2:$XFD$61,BC22+4,FALSE),0)</f>
        <v>0</v>
      </c>
      <c r="DL22">
        <f>IFERROR(VLOOKUP(DL$6,Hoja1!$F$2:$XFD$61,BD22+4,FALSE),0)</f>
        <v>0</v>
      </c>
      <c r="DM22">
        <f>IFERROR(VLOOKUP(DM$6,Hoja1!$F$2:$XFD$61,BE22+4,FALSE),0)</f>
        <v>0</v>
      </c>
      <c r="DN22">
        <f>IFERROR(VLOOKUP(DN$6,Hoja1!$F$2:$XFD$61,BF22+4,FALSE),0)</f>
        <v>0</v>
      </c>
      <c r="DO22">
        <f>IFERROR(VLOOKUP(DO$6,Hoja1!$F$2:$XFD$61,BG22+4,FALSE),0)</f>
        <v>0</v>
      </c>
      <c r="DP22">
        <f>IFERROR(VLOOKUP(DP$6,Hoja1!$F$2:$XFD$61,BH22+4,FALSE),0)</f>
        <v>0</v>
      </c>
      <c r="DQ22">
        <f>IFERROR(VLOOKUP(DQ$6,Hoja1!$F$2:$XFD$61,BI22+4,FALSE),0)</f>
        <v>0</v>
      </c>
      <c r="DR22">
        <f>IFERROR(VLOOKUP(DR$6,Hoja1!$F$2:$XFD$61,BJ22+4,FALSE),0)</f>
        <v>0</v>
      </c>
      <c r="DS22">
        <f>IFERROR(VLOOKUP(DS$6,Hoja1!$F$2:$XFD$61,BK22+4,FALSE),0)</f>
        <v>0</v>
      </c>
      <c r="DT22">
        <f>IFERROR(VLOOKUP(DT$6,Hoja1!$F$2:$XFD$61,BL22+4,FALSE),0)</f>
        <v>0</v>
      </c>
      <c r="DU22" s="15" t="str">
        <f t="shared" si="0"/>
        <v/>
      </c>
      <c r="DV22" s="16" t="str">
        <f>IF(D22&lt;&gt;"",IF(DU22="","",IF(DU22&gt;=$DU$7*Hoja1!$E$2,4+3/($DU$7*(1-Hoja1!$E$2))*(DU22-$DU$7*Hoja1!$E$2),1+3/($DU$7*Hoja1!$E$2)*DU22)),DU22)</f>
        <v/>
      </c>
      <c r="DW22" s="47" t="b">
        <v>0</v>
      </c>
    </row>
    <row r="23" spans="1:127" ht="23.25" customHeight="1" x14ac:dyDescent="0.25">
      <c r="A23" s="17">
        <v>14</v>
      </c>
      <c r="B23" s="18"/>
      <c r="C23" s="18"/>
      <c r="D23" s="1"/>
      <c r="E23" s="28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29"/>
      <c r="BM23">
        <f>IFERROR(VLOOKUP(BM$6,Hoja1!$F$2:$XFD$61,E23+4,FALSE),0)</f>
        <v>0</v>
      </c>
      <c r="BN23">
        <f>IFERROR(VLOOKUP(BN$6,Hoja1!$F$2:$XFD$61,F23+4,FALSE),0)</f>
        <v>0</v>
      </c>
      <c r="BO23">
        <f>IFERROR(VLOOKUP(BO$6,Hoja1!$F$2:$XFD$61,G23+4,FALSE),0)</f>
        <v>0</v>
      </c>
      <c r="BP23">
        <f>IFERROR(VLOOKUP(BP$6,Hoja1!$F$2:$XFD$61,H23+4,FALSE),0)</f>
        <v>0</v>
      </c>
      <c r="BQ23">
        <f>IFERROR(VLOOKUP(BQ$6,Hoja1!$F$2:$XFD$61,I23+4,FALSE),0)</f>
        <v>0</v>
      </c>
      <c r="BR23">
        <f>IFERROR(VLOOKUP(BR$6,Hoja1!$F$2:$XFD$61,J23+4,FALSE),0)</f>
        <v>0</v>
      </c>
      <c r="BS23">
        <f>IFERROR(VLOOKUP(BS$6,Hoja1!$F$2:$XFD$61,K23+4,FALSE),0)</f>
        <v>0</v>
      </c>
      <c r="BT23">
        <f>IFERROR(VLOOKUP(BT$6,Hoja1!$F$2:$XFD$61,L23+4,FALSE),0)</f>
        <v>0</v>
      </c>
      <c r="BU23">
        <f>IFERROR(VLOOKUP(BU$6,Hoja1!$F$2:$XFD$61,M23+4,FALSE),0)</f>
        <v>0</v>
      </c>
      <c r="BV23">
        <f>IFERROR(VLOOKUP(BV$6,Hoja1!$F$2:$XFD$61,N23+4,FALSE),0)</f>
        <v>0</v>
      </c>
      <c r="BW23">
        <f>IFERROR(VLOOKUP(BW$6,Hoja1!$F$2:$XFD$61,O23+4,FALSE),0)</f>
        <v>0</v>
      </c>
      <c r="BX23">
        <f>IFERROR(VLOOKUP(BX$6,Hoja1!$F$2:$XFD$61,P23+4,FALSE),0)</f>
        <v>0</v>
      </c>
      <c r="BY23">
        <f>IFERROR(VLOOKUP(BY$6,Hoja1!$F$2:$XFD$61,Q23+4,FALSE),0)</f>
        <v>0</v>
      </c>
      <c r="BZ23">
        <f>IFERROR(VLOOKUP(BZ$6,Hoja1!$F$2:$XFD$61,R23+4,FALSE),0)</f>
        <v>0</v>
      </c>
      <c r="CA23">
        <f>IFERROR(VLOOKUP(CA$6,Hoja1!$F$2:$XFD$61,S23+4,FALSE),0)</f>
        <v>0</v>
      </c>
      <c r="CB23">
        <f>IFERROR(VLOOKUP(CB$6,Hoja1!$F$2:$XFD$61,T23+4,FALSE),0)</f>
        <v>0</v>
      </c>
      <c r="CC23">
        <f>IFERROR(VLOOKUP(CC$6,Hoja1!$F$2:$XFD$61,U23+4,FALSE),0)</f>
        <v>0</v>
      </c>
      <c r="CD23">
        <f>IFERROR(VLOOKUP(CD$6,Hoja1!$F$2:$XFD$61,V23+4,FALSE),0)</f>
        <v>0</v>
      </c>
      <c r="CE23">
        <f>IFERROR(VLOOKUP(CE$6,Hoja1!$F$2:$XFD$61,W23+4,FALSE),0)</f>
        <v>0</v>
      </c>
      <c r="CF23">
        <f>IFERROR(VLOOKUP(CF$6,Hoja1!$F$2:$XFD$61,X23+4,FALSE),0)</f>
        <v>0</v>
      </c>
      <c r="CG23">
        <f>IFERROR(VLOOKUP(CG$6,Hoja1!$F$2:$XFD$61,Y23+4,FALSE),0)</f>
        <v>0</v>
      </c>
      <c r="CH23">
        <f>IFERROR(VLOOKUP(CH$6,Hoja1!$F$2:$XFD$61,Z23+4,FALSE),0)</f>
        <v>0</v>
      </c>
      <c r="CI23">
        <f>IFERROR(VLOOKUP(CI$6,Hoja1!$F$2:$XFD$61,AA23+4,FALSE),0)</f>
        <v>0</v>
      </c>
      <c r="CJ23">
        <f>IFERROR(VLOOKUP(CJ$6,Hoja1!$F$2:$XFD$61,AB23+4,FALSE),0)</f>
        <v>0</v>
      </c>
      <c r="CK23">
        <f>IFERROR(VLOOKUP(CK$6,Hoja1!$F$2:$XFD$61,AC23+4,FALSE),0)</f>
        <v>0</v>
      </c>
      <c r="CL23">
        <f>IFERROR(VLOOKUP(CL$6,Hoja1!$F$2:$XFD$61,AD23+4,FALSE),0)</f>
        <v>0</v>
      </c>
      <c r="CM23">
        <f>IFERROR(VLOOKUP(CM$6,Hoja1!$F$2:$XFD$61,AE23+4,FALSE),0)</f>
        <v>0</v>
      </c>
      <c r="CN23">
        <f>IFERROR(VLOOKUP(CN$6,Hoja1!$F$2:$XFD$61,AF23+4,FALSE),0)</f>
        <v>0</v>
      </c>
      <c r="CO23">
        <f>IFERROR(VLOOKUP(CO$6,Hoja1!$F$2:$XFD$61,AG23+4,FALSE),0)</f>
        <v>0</v>
      </c>
      <c r="CP23">
        <f>IFERROR(VLOOKUP(CP$6,Hoja1!$F$2:$XFD$61,AH23+4,FALSE),0)</f>
        <v>0</v>
      </c>
      <c r="CQ23">
        <f>IFERROR(VLOOKUP(CQ$6,Hoja1!$F$2:$XFD$61,AI23+4,FALSE),0)</f>
        <v>0</v>
      </c>
      <c r="CR23">
        <f>IFERROR(VLOOKUP(CR$6,Hoja1!$F$2:$XFD$61,AJ23+4,FALSE),0)</f>
        <v>0</v>
      </c>
      <c r="CS23">
        <f>IFERROR(VLOOKUP(CS$6,Hoja1!$F$2:$XFD$61,AK23+4,FALSE),0)</f>
        <v>0</v>
      </c>
      <c r="CT23">
        <f>IFERROR(VLOOKUP(CT$6,Hoja1!$F$2:$XFD$61,AL23+4,FALSE),0)</f>
        <v>0</v>
      </c>
      <c r="CU23">
        <f>IFERROR(VLOOKUP(CU$6,Hoja1!$F$2:$XFD$61,AM23+4,FALSE),0)</f>
        <v>0</v>
      </c>
      <c r="CV23">
        <f>IFERROR(VLOOKUP(CV$6,Hoja1!$F$2:$XFD$61,AN23+4,FALSE),0)</f>
        <v>0</v>
      </c>
      <c r="CW23">
        <f>IFERROR(VLOOKUP(CW$6,Hoja1!$F$2:$XFD$61,AO23+4,FALSE),0)</f>
        <v>0</v>
      </c>
      <c r="CX23">
        <f>IFERROR(VLOOKUP(CX$6,Hoja1!$F$2:$XFD$61,AP23+4,FALSE),0)</f>
        <v>0</v>
      </c>
      <c r="CY23">
        <f>IFERROR(VLOOKUP(CY$6,Hoja1!$F$2:$XFD$61,AQ23+4,FALSE),0)</f>
        <v>0</v>
      </c>
      <c r="CZ23">
        <f>IFERROR(VLOOKUP(CZ$6,Hoja1!$F$2:$XFD$61,AR23+4,FALSE),0)</f>
        <v>0</v>
      </c>
      <c r="DA23">
        <f>IFERROR(VLOOKUP(DA$6,Hoja1!$F$2:$XFD$61,AS23+4,FALSE),0)</f>
        <v>0</v>
      </c>
      <c r="DB23">
        <f>IFERROR(VLOOKUP(DB$6,Hoja1!$F$2:$XFD$61,AT23+4,FALSE),0)</f>
        <v>0</v>
      </c>
      <c r="DC23">
        <f>IFERROR(VLOOKUP(DC$6,Hoja1!$F$2:$XFD$61,AU23+4,FALSE),0)</f>
        <v>0</v>
      </c>
      <c r="DD23">
        <f>IFERROR(VLOOKUP(DD$6,Hoja1!$F$2:$XFD$61,AV23+4,FALSE),0)</f>
        <v>0</v>
      </c>
      <c r="DE23">
        <f>IFERROR(VLOOKUP(DE$6,Hoja1!$F$2:$XFD$61,AW23+4,FALSE),0)</f>
        <v>0</v>
      </c>
      <c r="DF23">
        <f>IFERROR(VLOOKUP(DF$6,Hoja1!$F$2:$XFD$61,AX23+4,FALSE),0)</f>
        <v>0</v>
      </c>
      <c r="DG23">
        <f>IFERROR(VLOOKUP(DG$6,Hoja1!$F$2:$XFD$61,AY23+4,FALSE),0)</f>
        <v>0</v>
      </c>
      <c r="DH23">
        <f>IFERROR(VLOOKUP(DH$6,Hoja1!$F$2:$XFD$61,AZ23+4,FALSE),0)</f>
        <v>0</v>
      </c>
      <c r="DI23">
        <f>IFERROR(VLOOKUP(DI$6,Hoja1!$F$2:$XFD$61,BA23+4,FALSE),0)</f>
        <v>0</v>
      </c>
      <c r="DJ23">
        <f>IFERROR(VLOOKUP(DJ$6,Hoja1!$F$2:$XFD$61,BB23+4,FALSE),0)</f>
        <v>0</v>
      </c>
      <c r="DK23">
        <f>IFERROR(VLOOKUP(DK$6,Hoja1!$F$2:$XFD$61,BC23+4,FALSE),0)</f>
        <v>0</v>
      </c>
      <c r="DL23">
        <f>IFERROR(VLOOKUP(DL$6,Hoja1!$F$2:$XFD$61,BD23+4,FALSE),0)</f>
        <v>0</v>
      </c>
      <c r="DM23">
        <f>IFERROR(VLOOKUP(DM$6,Hoja1!$F$2:$XFD$61,BE23+4,FALSE),0)</f>
        <v>0</v>
      </c>
      <c r="DN23">
        <f>IFERROR(VLOOKUP(DN$6,Hoja1!$F$2:$XFD$61,BF23+4,FALSE),0)</f>
        <v>0</v>
      </c>
      <c r="DO23">
        <f>IFERROR(VLOOKUP(DO$6,Hoja1!$F$2:$XFD$61,BG23+4,FALSE),0)</f>
        <v>0</v>
      </c>
      <c r="DP23">
        <f>IFERROR(VLOOKUP(DP$6,Hoja1!$F$2:$XFD$61,BH23+4,FALSE),0)</f>
        <v>0</v>
      </c>
      <c r="DQ23">
        <f>IFERROR(VLOOKUP(DQ$6,Hoja1!$F$2:$XFD$61,BI23+4,FALSE),0)</f>
        <v>0</v>
      </c>
      <c r="DR23">
        <f>IFERROR(VLOOKUP(DR$6,Hoja1!$F$2:$XFD$61,BJ23+4,FALSE),0)</f>
        <v>0</v>
      </c>
      <c r="DS23">
        <f>IFERROR(VLOOKUP(DS$6,Hoja1!$F$2:$XFD$61,BK23+4,FALSE),0)</f>
        <v>0</v>
      </c>
      <c r="DT23">
        <f>IFERROR(VLOOKUP(DT$6,Hoja1!$F$2:$XFD$61,BL23+4,FALSE),0)</f>
        <v>0</v>
      </c>
      <c r="DU23" s="15" t="str">
        <f t="shared" si="0"/>
        <v/>
      </c>
      <c r="DV23" s="16" t="str">
        <f>IF(D23&lt;&gt;"",IF(DU23="","",IF(DU23&gt;=$DU$7*Hoja1!$E$2,4+3/($DU$7*(1-Hoja1!$E$2))*(DU23-$DU$7*Hoja1!$E$2),1+3/($DU$7*Hoja1!$E$2)*DU23)),DU23)</f>
        <v/>
      </c>
      <c r="DW23" s="47" t="b">
        <v>0</v>
      </c>
    </row>
    <row r="24" spans="1:127" ht="23.25" customHeight="1" x14ac:dyDescent="0.25">
      <c r="A24" s="17">
        <v>15</v>
      </c>
      <c r="B24" s="18"/>
      <c r="C24" s="18"/>
      <c r="D24" s="1"/>
      <c r="E24" s="28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29"/>
      <c r="BM24">
        <f>IFERROR(VLOOKUP(BM$6,Hoja1!$F$2:$XFD$61,E24+4,FALSE),0)</f>
        <v>0</v>
      </c>
      <c r="BN24">
        <f>IFERROR(VLOOKUP(BN$6,Hoja1!$F$2:$XFD$61,F24+4,FALSE),0)</f>
        <v>0</v>
      </c>
      <c r="BO24">
        <f>IFERROR(VLOOKUP(BO$6,Hoja1!$F$2:$XFD$61,G24+4,FALSE),0)</f>
        <v>0</v>
      </c>
      <c r="BP24">
        <f>IFERROR(VLOOKUP(BP$6,Hoja1!$F$2:$XFD$61,H24+4,FALSE),0)</f>
        <v>0</v>
      </c>
      <c r="BQ24">
        <f>IFERROR(VLOOKUP(BQ$6,Hoja1!$F$2:$XFD$61,I24+4,FALSE),0)</f>
        <v>0</v>
      </c>
      <c r="BR24">
        <f>IFERROR(VLOOKUP(BR$6,Hoja1!$F$2:$XFD$61,J24+4,FALSE),0)</f>
        <v>0</v>
      </c>
      <c r="BS24">
        <f>IFERROR(VLOOKUP(BS$6,Hoja1!$F$2:$XFD$61,K24+4,FALSE),0)</f>
        <v>0</v>
      </c>
      <c r="BT24">
        <f>IFERROR(VLOOKUP(BT$6,Hoja1!$F$2:$XFD$61,L24+4,FALSE),0)</f>
        <v>0</v>
      </c>
      <c r="BU24">
        <f>IFERROR(VLOOKUP(BU$6,Hoja1!$F$2:$XFD$61,M24+4,FALSE),0)</f>
        <v>0</v>
      </c>
      <c r="BV24">
        <f>IFERROR(VLOOKUP(BV$6,Hoja1!$F$2:$XFD$61,N24+4,FALSE),0)</f>
        <v>0</v>
      </c>
      <c r="BW24">
        <f>IFERROR(VLOOKUP(BW$6,Hoja1!$F$2:$XFD$61,O24+4,FALSE),0)</f>
        <v>0</v>
      </c>
      <c r="BX24">
        <f>IFERROR(VLOOKUP(BX$6,Hoja1!$F$2:$XFD$61,P24+4,FALSE),0)</f>
        <v>0</v>
      </c>
      <c r="BY24">
        <f>IFERROR(VLOOKUP(BY$6,Hoja1!$F$2:$XFD$61,Q24+4,FALSE),0)</f>
        <v>0</v>
      </c>
      <c r="BZ24">
        <f>IFERROR(VLOOKUP(BZ$6,Hoja1!$F$2:$XFD$61,R24+4,FALSE),0)</f>
        <v>0</v>
      </c>
      <c r="CA24">
        <f>IFERROR(VLOOKUP(CA$6,Hoja1!$F$2:$XFD$61,S24+4,FALSE),0)</f>
        <v>0</v>
      </c>
      <c r="CB24">
        <f>IFERROR(VLOOKUP(CB$6,Hoja1!$F$2:$XFD$61,T24+4,FALSE),0)</f>
        <v>0</v>
      </c>
      <c r="CC24">
        <f>IFERROR(VLOOKUP(CC$6,Hoja1!$F$2:$XFD$61,U24+4,FALSE),0)</f>
        <v>0</v>
      </c>
      <c r="CD24">
        <f>IFERROR(VLOOKUP(CD$6,Hoja1!$F$2:$XFD$61,V24+4,FALSE),0)</f>
        <v>0</v>
      </c>
      <c r="CE24">
        <f>IFERROR(VLOOKUP(CE$6,Hoja1!$F$2:$XFD$61,W24+4,FALSE),0)</f>
        <v>0</v>
      </c>
      <c r="CF24">
        <f>IFERROR(VLOOKUP(CF$6,Hoja1!$F$2:$XFD$61,X24+4,FALSE),0)</f>
        <v>0</v>
      </c>
      <c r="CG24">
        <f>IFERROR(VLOOKUP(CG$6,Hoja1!$F$2:$XFD$61,Y24+4,FALSE),0)</f>
        <v>0</v>
      </c>
      <c r="CH24">
        <f>IFERROR(VLOOKUP(CH$6,Hoja1!$F$2:$XFD$61,Z24+4,FALSE),0)</f>
        <v>0</v>
      </c>
      <c r="CI24">
        <f>IFERROR(VLOOKUP(CI$6,Hoja1!$F$2:$XFD$61,AA24+4,FALSE),0)</f>
        <v>0</v>
      </c>
      <c r="CJ24">
        <f>IFERROR(VLOOKUP(CJ$6,Hoja1!$F$2:$XFD$61,AB24+4,FALSE),0)</f>
        <v>0</v>
      </c>
      <c r="CK24">
        <f>IFERROR(VLOOKUP(CK$6,Hoja1!$F$2:$XFD$61,AC24+4,FALSE),0)</f>
        <v>0</v>
      </c>
      <c r="CL24">
        <f>IFERROR(VLOOKUP(CL$6,Hoja1!$F$2:$XFD$61,AD24+4,FALSE),0)</f>
        <v>0</v>
      </c>
      <c r="CM24">
        <f>IFERROR(VLOOKUP(CM$6,Hoja1!$F$2:$XFD$61,AE24+4,FALSE),0)</f>
        <v>0</v>
      </c>
      <c r="CN24">
        <f>IFERROR(VLOOKUP(CN$6,Hoja1!$F$2:$XFD$61,AF24+4,FALSE),0)</f>
        <v>0</v>
      </c>
      <c r="CO24">
        <f>IFERROR(VLOOKUP(CO$6,Hoja1!$F$2:$XFD$61,AG24+4,FALSE),0)</f>
        <v>0</v>
      </c>
      <c r="CP24">
        <f>IFERROR(VLOOKUP(CP$6,Hoja1!$F$2:$XFD$61,AH24+4,FALSE),0)</f>
        <v>0</v>
      </c>
      <c r="CQ24">
        <f>IFERROR(VLOOKUP(CQ$6,Hoja1!$F$2:$XFD$61,AI24+4,FALSE),0)</f>
        <v>0</v>
      </c>
      <c r="CR24">
        <f>IFERROR(VLOOKUP(CR$6,Hoja1!$F$2:$XFD$61,AJ24+4,FALSE),0)</f>
        <v>0</v>
      </c>
      <c r="CS24">
        <f>IFERROR(VLOOKUP(CS$6,Hoja1!$F$2:$XFD$61,AK24+4,FALSE),0)</f>
        <v>0</v>
      </c>
      <c r="CT24">
        <f>IFERROR(VLOOKUP(CT$6,Hoja1!$F$2:$XFD$61,AL24+4,FALSE),0)</f>
        <v>0</v>
      </c>
      <c r="CU24">
        <f>IFERROR(VLOOKUP(CU$6,Hoja1!$F$2:$XFD$61,AM24+4,FALSE),0)</f>
        <v>0</v>
      </c>
      <c r="CV24">
        <f>IFERROR(VLOOKUP(CV$6,Hoja1!$F$2:$XFD$61,AN24+4,FALSE),0)</f>
        <v>0</v>
      </c>
      <c r="CW24">
        <f>IFERROR(VLOOKUP(CW$6,Hoja1!$F$2:$XFD$61,AO24+4,FALSE),0)</f>
        <v>0</v>
      </c>
      <c r="CX24">
        <f>IFERROR(VLOOKUP(CX$6,Hoja1!$F$2:$XFD$61,AP24+4,FALSE),0)</f>
        <v>0</v>
      </c>
      <c r="CY24">
        <f>IFERROR(VLOOKUP(CY$6,Hoja1!$F$2:$XFD$61,AQ24+4,FALSE),0)</f>
        <v>0</v>
      </c>
      <c r="CZ24">
        <f>IFERROR(VLOOKUP(CZ$6,Hoja1!$F$2:$XFD$61,AR24+4,FALSE),0)</f>
        <v>0</v>
      </c>
      <c r="DA24">
        <f>IFERROR(VLOOKUP(DA$6,Hoja1!$F$2:$XFD$61,AS24+4,FALSE),0)</f>
        <v>0</v>
      </c>
      <c r="DB24">
        <f>IFERROR(VLOOKUP(DB$6,Hoja1!$F$2:$XFD$61,AT24+4,FALSE),0)</f>
        <v>0</v>
      </c>
      <c r="DC24">
        <f>IFERROR(VLOOKUP(DC$6,Hoja1!$F$2:$XFD$61,AU24+4,FALSE),0)</f>
        <v>0</v>
      </c>
      <c r="DD24">
        <f>IFERROR(VLOOKUP(DD$6,Hoja1!$F$2:$XFD$61,AV24+4,FALSE),0)</f>
        <v>0</v>
      </c>
      <c r="DE24">
        <f>IFERROR(VLOOKUP(DE$6,Hoja1!$F$2:$XFD$61,AW24+4,FALSE),0)</f>
        <v>0</v>
      </c>
      <c r="DF24">
        <f>IFERROR(VLOOKUP(DF$6,Hoja1!$F$2:$XFD$61,AX24+4,FALSE),0)</f>
        <v>0</v>
      </c>
      <c r="DG24">
        <f>IFERROR(VLOOKUP(DG$6,Hoja1!$F$2:$XFD$61,AY24+4,FALSE),0)</f>
        <v>0</v>
      </c>
      <c r="DH24">
        <f>IFERROR(VLOOKUP(DH$6,Hoja1!$F$2:$XFD$61,AZ24+4,FALSE),0)</f>
        <v>0</v>
      </c>
      <c r="DI24">
        <f>IFERROR(VLOOKUP(DI$6,Hoja1!$F$2:$XFD$61,BA24+4,FALSE),0)</f>
        <v>0</v>
      </c>
      <c r="DJ24">
        <f>IFERROR(VLOOKUP(DJ$6,Hoja1!$F$2:$XFD$61,BB24+4,FALSE),0)</f>
        <v>0</v>
      </c>
      <c r="DK24">
        <f>IFERROR(VLOOKUP(DK$6,Hoja1!$F$2:$XFD$61,BC24+4,FALSE),0)</f>
        <v>0</v>
      </c>
      <c r="DL24">
        <f>IFERROR(VLOOKUP(DL$6,Hoja1!$F$2:$XFD$61,BD24+4,FALSE),0)</f>
        <v>0</v>
      </c>
      <c r="DM24">
        <f>IFERROR(VLOOKUP(DM$6,Hoja1!$F$2:$XFD$61,BE24+4,FALSE),0)</f>
        <v>0</v>
      </c>
      <c r="DN24">
        <f>IFERROR(VLOOKUP(DN$6,Hoja1!$F$2:$XFD$61,BF24+4,FALSE),0)</f>
        <v>0</v>
      </c>
      <c r="DO24">
        <f>IFERROR(VLOOKUP(DO$6,Hoja1!$F$2:$XFD$61,BG24+4,FALSE),0)</f>
        <v>0</v>
      </c>
      <c r="DP24">
        <f>IFERROR(VLOOKUP(DP$6,Hoja1!$F$2:$XFD$61,BH24+4,FALSE),0)</f>
        <v>0</v>
      </c>
      <c r="DQ24">
        <f>IFERROR(VLOOKUP(DQ$6,Hoja1!$F$2:$XFD$61,BI24+4,FALSE),0)</f>
        <v>0</v>
      </c>
      <c r="DR24">
        <f>IFERROR(VLOOKUP(DR$6,Hoja1!$F$2:$XFD$61,BJ24+4,FALSE),0)</f>
        <v>0</v>
      </c>
      <c r="DS24">
        <f>IFERROR(VLOOKUP(DS$6,Hoja1!$F$2:$XFD$61,BK24+4,FALSE),0)</f>
        <v>0</v>
      </c>
      <c r="DT24">
        <f>IFERROR(VLOOKUP(DT$6,Hoja1!$F$2:$XFD$61,BL24+4,FALSE),0)</f>
        <v>0</v>
      </c>
      <c r="DU24" s="15" t="str">
        <f t="shared" si="0"/>
        <v/>
      </c>
      <c r="DV24" s="16" t="str">
        <f>IF(D24&lt;&gt;"",IF(DU24="","",IF(DU24&gt;=$DU$7*Hoja1!$E$2,4+3/($DU$7*(1-Hoja1!$E$2))*(DU24-$DU$7*Hoja1!$E$2),1+3/($DU$7*Hoja1!$E$2)*DU24)),DU24)</f>
        <v/>
      </c>
      <c r="DW24" s="47" t="b">
        <v>0</v>
      </c>
    </row>
    <row r="25" spans="1:127" ht="23.25" customHeight="1" x14ac:dyDescent="0.25">
      <c r="A25" s="17">
        <v>16</v>
      </c>
      <c r="B25" s="18"/>
      <c r="C25" s="18"/>
      <c r="D25" s="1"/>
      <c r="E25" s="28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29"/>
      <c r="BM25">
        <f>IFERROR(VLOOKUP(BM$6,Hoja1!$F$2:$XFD$61,E25+4,FALSE),0)</f>
        <v>0</v>
      </c>
      <c r="BN25">
        <f>IFERROR(VLOOKUP(BN$6,Hoja1!$F$2:$XFD$61,F25+4,FALSE),0)</f>
        <v>0</v>
      </c>
      <c r="BO25">
        <f>IFERROR(VLOOKUP(BO$6,Hoja1!$F$2:$XFD$61,G25+4,FALSE),0)</f>
        <v>0</v>
      </c>
      <c r="BP25">
        <f>IFERROR(VLOOKUP(BP$6,Hoja1!$F$2:$XFD$61,H25+4,FALSE),0)</f>
        <v>0</v>
      </c>
      <c r="BQ25">
        <f>IFERROR(VLOOKUP(BQ$6,Hoja1!$F$2:$XFD$61,I25+4,FALSE),0)</f>
        <v>0</v>
      </c>
      <c r="BR25">
        <f>IFERROR(VLOOKUP(BR$6,Hoja1!$F$2:$XFD$61,J25+4,FALSE),0)</f>
        <v>0</v>
      </c>
      <c r="BS25">
        <f>IFERROR(VLOOKUP(BS$6,Hoja1!$F$2:$XFD$61,K25+4,FALSE),0)</f>
        <v>0</v>
      </c>
      <c r="BT25">
        <f>IFERROR(VLOOKUP(BT$6,Hoja1!$F$2:$XFD$61,L25+4,FALSE),0)</f>
        <v>0</v>
      </c>
      <c r="BU25">
        <f>IFERROR(VLOOKUP(BU$6,Hoja1!$F$2:$XFD$61,M25+4,FALSE),0)</f>
        <v>0</v>
      </c>
      <c r="BV25">
        <f>IFERROR(VLOOKUP(BV$6,Hoja1!$F$2:$XFD$61,N25+4,FALSE),0)</f>
        <v>0</v>
      </c>
      <c r="BW25">
        <f>IFERROR(VLOOKUP(BW$6,Hoja1!$F$2:$XFD$61,O25+4,FALSE),0)</f>
        <v>0</v>
      </c>
      <c r="BX25">
        <f>IFERROR(VLOOKUP(BX$6,Hoja1!$F$2:$XFD$61,P25+4,FALSE),0)</f>
        <v>0</v>
      </c>
      <c r="BY25">
        <f>IFERROR(VLOOKUP(BY$6,Hoja1!$F$2:$XFD$61,Q25+4,FALSE),0)</f>
        <v>0</v>
      </c>
      <c r="BZ25">
        <f>IFERROR(VLOOKUP(BZ$6,Hoja1!$F$2:$XFD$61,R25+4,FALSE),0)</f>
        <v>0</v>
      </c>
      <c r="CA25">
        <f>IFERROR(VLOOKUP(CA$6,Hoja1!$F$2:$XFD$61,S25+4,FALSE),0)</f>
        <v>0</v>
      </c>
      <c r="CB25">
        <f>IFERROR(VLOOKUP(CB$6,Hoja1!$F$2:$XFD$61,T25+4,FALSE),0)</f>
        <v>0</v>
      </c>
      <c r="CC25">
        <f>IFERROR(VLOOKUP(CC$6,Hoja1!$F$2:$XFD$61,U25+4,FALSE),0)</f>
        <v>0</v>
      </c>
      <c r="CD25">
        <f>IFERROR(VLOOKUP(CD$6,Hoja1!$F$2:$XFD$61,V25+4,FALSE),0)</f>
        <v>0</v>
      </c>
      <c r="CE25">
        <f>IFERROR(VLOOKUP(CE$6,Hoja1!$F$2:$XFD$61,W25+4,FALSE),0)</f>
        <v>0</v>
      </c>
      <c r="CF25">
        <f>IFERROR(VLOOKUP(CF$6,Hoja1!$F$2:$XFD$61,X25+4,FALSE),0)</f>
        <v>0</v>
      </c>
      <c r="CG25">
        <f>IFERROR(VLOOKUP(CG$6,Hoja1!$F$2:$XFD$61,Y25+4,FALSE),0)</f>
        <v>0</v>
      </c>
      <c r="CH25">
        <f>IFERROR(VLOOKUP(CH$6,Hoja1!$F$2:$XFD$61,Z25+4,FALSE),0)</f>
        <v>0</v>
      </c>
      <c r="CI25">
        <f>IFERROR(VLOOKUP(CI$6,Hoja1!$F$2:$XFD$61,AA25+4,FALSE),0)</f>
        <v>0</v>
      </c>
      <c r="CJ25">
        <f>IFERROR(VLOOKUP(CJ$6,Hoja1!$F$2:$XFD$61,AB25+4,FALSE),0)</f>
        <v>0</v>
      </c>
      <c r="CK25">
        <f>IFERROR(VLOOKUP(CK$6,Hoja1!$F$2:$XFD$61,AC25+4,FALSE),0)</f>
        <v>0</v>
      </c>
      <c r="CL25">
        <f>IFERROR(VLOOKUP(CL$6,Hoja1!$F$2:$XFD$61,AD25+4,FALSE),0)</f>
        <v>0</v>
      </c>
      <c r="CM25">
        <f>IFERROR(VLOOKUP(CM$6,Hoja1!$F$2:$XFD$61,AE25+4,FALSE),0)</f>
        <v>0</v>
      </c>
      <c r="CN25">
        <f>IFERROR(VLOOKUP(CN$6,Hoja1!$F$2:$XFD$61,AF25+4,FALSE),0)</f>
        <v>0</v>
      </c>
      <c r="CO25">
        <f>IFERROR(VLOOKUP(CO$6,Hoja1!$F$2:$XFD$61,AG25+4,FALSE),0)</f>
        <v>0</v>
      </c>
      <c r="CP25">
        <f>IFERROR(VLOOKUP(CP$6,Hoja1!$F$2:$XFD$61,AH25+4,FALSE),0)</f>
        <v>0</v>
      </c>
      <c r="CQ25">
        <f>IFERROR(VLOOKUP(CQ$6,Hoja1!$F$2:$XFD$61,AI25+4,FALSE),0)</f>
        <v>0</v>
      </c>
      <c r="CR25">
        <f>IFERROR(VLOOKUP(CR$6,Hoja1!$F$2:$XFD$61,AJ25+4,FALSE),0)</f>
        <v>0</v>
      </c>
      <c r="CS25">
        <f>IFERROR(VLOOKUP(CS$6,Hoja1!$F$2:$XFD$61,AK25+4,FALSE),0)</f>
        <v>0</v>
      </c>
      <c r="CT25">
        <f>IFERROR(VLOOKUP(CT$6,Hoja1!$F$2:$XFD$61,AL25+4,FALSE),0)</f>
        <v>0</v>
      </c>
      <c r="CU25">
        <f>IFERROR(VLOOKUP(CU$6,Hoja1!$F$2:$XFD$61,AM25+4,FALSE),0)</f>
        <v>0</v>
      </c>
      <c r="CV25">
        <f>IFERROR(VLOOKUP(CV$6,Hoja1!$F$2:$XFD$61,AN25+4,FALSE),0)</f>
        <v>0</v>
      </c>
      <c r="CW25">
        <f>IFERROR(VLOOKUP(CW$6,Hoja1!$F$2:$XFD$61,AO25+4,FALSE),0)</f>
        <v>0</v>
      </c>
      <c r="CX25">
        <f>IFERROR(VLOOKUP(CX$6,Hoja1!$F$2:$XFD$61,AP25+4,FALSE),0)</f>
        <v>0</v>
      </c>
      <c r="CY25">
        <f>IFERROR(VLOOKUP(CY$6,Hoja1!$F$2:$XFD$61,AQ25+4,FALSE),0)</f>
        <v>0</v>
      </c>
      <c r="CZ25">
        <f>IFERROR(VLOOKUP(CZ$6,Hoja1!$F$2:$XFD$61,AR25+4,FALSE),0)</f>
        <v>0</v>
      </c>
      <c r="DA25">
        <f>IFERROR(VLOOKUP(DA$6,Hoja1!$F$2:$XFD$61,AS25+4,FALSE),0)</f>
        <v>0</v>
      </c>
      <c r="DB25">
        <f>IFERROR(VLOOKUP(DB$6,Hoja1!$F$2:$XFD$61,AT25+4,FALSE),0)</f>
        <v>0</v>
      </c>
      <c r="DC25">
        <f>IFERROR(VLOOKUP(DC$6,Hoja1!$F$2:$XFD$61,AU25+4,FALSE),0)</f>
        <v>0</v>
      </c>
      <c r="DD25">
        <f>IFERROR(VLOOKUP(DD$6,Hoja1!$F$2:$XFD$61,AV25+4,FALSE),0)</f>
        <v>0</v>
      </c>
      <c r="DE25">
        <f>IFERROR(VLOOKUP(DE$6,Hoja1!$F$2:$XFD$61,AW25+4,FALSE),0)</f>
        <v>0</v>
      </c>
      <c r="DF25">
        <f>IFERROR(VLOOKUP(DF$6,Hoja1!$F$2:$XFD$61,AX25+4,FALSE),0)</f>
        <v>0</v>
      </c>
      <c r="DG25">
        <f>IFERROR(VLOOKUP(DG$6,Hoja1!$F$2:$XFD$61,AY25+4,FALSE),0)</f>
        <v>0</v>
      </c>
      <c r="DH25">
        <f>IFERROR(VLOOKUP(DH$6,Hoja1!$F$2:$XFD$61,AZ25+4,FALSE),0)</f>
        <v>0</v>
      </c>
      <c r="DI25">
        <f>IFERROR(VLOOKUP(DI$6,Hoja1!$F$2:$XFD$61,BA25+4,FALSE),0)</f>
        <v>0</v>
      </c>
      <c r="DJ25">
        <f>IFERROR(VLOOKUP(DJ$6,Hoja1!$F$2:$XFD$61,BB25+4,FALSE),0)</f>
        <v>0</v>
      </c>
      <c r="DK25">
        <f>IFERROR(VLOOKUP(DK$6,Hoja1!$F$2:$XFD$61,BC25+4,FALSE),0)</f>
        <v>0</v>
      </c>
      <c r="DL25">
        <f>IFERROR(VLOOKUP(DL$6,Hoja1!$F$2:$XFD$61,BD25+4,FALSE),0)</f>
        <v>0</v>
      </c>
      <c r="DM25">
        <f>IFERROR(VLOOKUP(DM$6,Hoja1!$F$2:$XFD$61,BE25+4,FALSE),0)</f>
        <v>0</v>
      </c>
      <c r="DN25">
        <f>IFERROR(VLOOKUP(DN$6,Hoja1!$F$2:$XFD$61,BF25+4,FALSE),0)</f>
        <v>0</v>
      </c>
      <c r="DO25">
        <f>IFERROR(VLOOKUP(DO$6,Hoja1!$F$2:$XFD$61,BG25+4,FALSE),0)</f>
        <v>0</v>
      </c>
      <c r="DP25">
        <f>IFERROR(VLOOKUP(DP$6,Hoja1!$F$2:$XFD$61,BH25+4,FALSE),0)</f>
        <v>0</v>
      </c>
      <c r="DQ25">
        <f>IFERROR(VLOOKUP(DQ$6,Hoja1!$F$2:$XFD$61,BI25+4,FALSE),0)</f>
        <v>0</v>
      </c>
      <c r="DR25">
        <f>IFERROR(VLOOKUP(DR$6,Hoja1!$F$2:$XFD$61,BJ25+4,FALSE),0)</f>
        <v>0</v>
      </c>
      <c r="DS25">
        <f>IFERROR(VLOOKUP(DS$6,Hoja1!$F$2:$XFD$61,BK25+4,FALSE),0)</f>
        <v>0</v>
      </c>
      <c r="DT25">
        <f>IFERROR(VLOOKUP(DT$6,Hoja1!$F$2:$XFD$61,BL25+4,FALSE),0)</f>
        <v>0</v>
      </c>
      <c r="DU25" s="15" t="str">
        <f t="shared" si="0"/>
        <v/>
      </c>
      <c r="DV25" s="16" t="str">
        <f>IF(D25&lt;&gt;"",IF(DU25="","",IF(DU25&gt;=$DU$7*Hoja1!$E$2,4+3/($DU$7*(1-Hoja1!$E$2))*(DU25-$DU$7*Hoja1!$E$2),1+3/($DU$7*Hoja1!$E$2)*DU25)),DU25)</f>
        <v/>
      </c>
      <c r="DW25" s="47" t="b">
        <v>0</v>
      </c>
    </row>
    <row r="26" spans="1:127" ht="23.25" customHeight="1" x14ac:dyDescent="0.25">
      <c r="A26" s="17">
        <v>17</v>
      </c>
      <c r="B26" s="18"/>
      <c r="C26" s="18"/>
      <c r="D26" s="1"/>
      <c r="E26" s="28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29"/>
      <c r="BM26">
        <f>IFERROR(VLOOKUP(BM$6,Hoja1!$F$2:$XFD$61,E26+4,FALSE),0)</f>
        <v>0</v>
      </c>
      <c r="BN26">
        <f>IFERROR(VLOOKUP(BN$6,Hoja1!$F$2:$XFD$61,F26+4,FALSE),0)</f>
        <v>0</v>
      </c>
      <c r="BO26">
        <f>IFERROR(VLOOKUP(BO$6,Hoja1!$F$2:$XFD$61,G26+4,FALSE),0)</f>
        <v>0</v>
      </c>
      <c r="BP26">
        <f>IFERROR(VLOOKUP(BP$6,Hoja1!$F$2:$XFD$61,H26+4,FALSE),0)</f>
        <v>0</v>
      </c>
      <c r="BQ26">
        <f>IFERROR(VLOOKUP(BQ$6,Hoja1!$F$2:$XFD$61,I26+4,FALSE),0)</f>
        <v>0</v>
      </c>
      <c r="BR26">
        <f>IFERROR(VLOOKUP(BR$6,Hoja1!$F$2:$XFD$61,J26+4,FALSE),0)</f>
        <v>0</v>
      </c>
      <c r="BS26">
        <f>IFERROR(VLOOKUP(BS$6,Hoja1!$F$2:$XFD$61,K26+4,FALSE),0)</f>
        <v>0</v>
      </c>
      <c r="BT26">
        <f>IFERROR(VLOOKUP(BT$6,Hoja1!$F$2:$XFD$61,L26+4,FALSE),0)</f>
        <v>0</v>
      </c>
      <c r="BU26">
        <f>IFERROR(VLOOKUP(BU$6,Hoja1!$F$2:$XFD$61,M26+4,FALSE),0)</f>
        <v>0</v>
      </c>
      <c r="BV26">
        <f>IFERROR(VLOOKUP(BV$6,Hoja1!$F$2:$XFD$61,N26+4,FALSE),0)</f>
        <v>0</v>
      </c>
      <c r="BW26">
        <f>IFERROR(VLOOKUP(BW$6,Hoja1!$F$2:$XFD$61,O26+4,FALSE),0)</f>
        <v>0</v>
      </c>
      <c r="BX26">
        <f>IFERROR(VLOOKUP(BX$6,Hoja1!$F$2:$XFD$61,P26+4,FALSE),0)</f>
        <v>0</v>
      </c>
      <c r="BY26">
        <f>IFERROR(VLOOKUP(BY$6,Hoja1!$F$2:$XFD$61,Q26+4,FALSE),0)</f>
        <v>0</v>
      </c>
      <c r="BZ26">
        <f>IFERROR(VLOOKUP(BZ$6,Hoja1!$F$2:$XFD$61,R26+4,FALSE),0)</f>
        <v>0</v>
      </c>
      <c r="CA26">
        <f>IFERROR(VLOOKUP(CA$6,Hoja1!$F$2:$XFD$61,S26+4,FALSE),0)</f>
        <v>0</v>
      </c>
      <c r="CB26">
        <f>IFERROR(VLOOKUP(CB$6,Hoja1!$F$2:$XFD$61,T26+4,FALSE),0)</f>
        <v>0</v>
      </c>
      <c r="CC26">
        <f>IFERROR(VLOOKUP(CC$6,Hoja1!$F$2:$XFD$61,U26+4,FALSE),0)</f>
        <v>0</v>
      </c>
      <c r="CD26">
        <f>IFERROR(VLOOKUP(CD$6,Hoja1!$F$2:$XFD$61,V26+4,FALSE),0)</f>
        <v>0</v>
      </c>
      <c r="CE26">
        <f>IFERROR(VLOOKUP(CE$6,Hoja1!$F$2:$XFD$61,W26+4,FALSE),0)</f>
        <v>0</v>
      </c>
      <c r="CF26">
        <f>IFERROR(VLOOKUP(CF$6,Hoja1!$F$2:$XFD$61,X26+4,FALSE),0)</f>
        <v>0</v>
      </c>
      <c r="CG26">
        <f>IFERROR(VLOOKUP(CG$6,Hoja1!$F$2:$XFD$61,Y26+4,FALSE),0)</f>
        <v>0</v>
      </c>
      <c r="CH26">
        <f>IFERROR(VLOOKUP(CH$6,Hoja1!$F$2:$XFD$61,Z26+4,FALSE),0)</f>
        <v>0</v>
      </c>
      <c r="CI26">
        <f>IFERROR(VLOOKUP(CI$6,Hoja1!$F$2:$XFD$61,AA26+4,FALSE),0)</f>
        <v>0</v>
      </c>
      <c r="CJ26">
        <f>IFERROR(VLOOKUP(CJ$6,Hoja1!$F$2:$XFD$61,AB26+4,FALSE),0)</f>
        <v>0</v>
      </c>
      <c r="CK26">
        <f>IFERROR(VLOOKUP(CK$6,Hoja1!$F$2:$XFD$61,AC26+4,FALSE),0)</f>
        <v>0</v>
      </c>
      <c r="CL26">
        <f>IFERROR(VLOOKUP(CL$6,Hoja1!$F$2:$XFD$61,AD26+4,FALSE),0)</f>
        <v>0</v>
      </c>
      <c r="CM26">
        <f>IFERROR(VLOOKUP(CM$6,Hoja1!$F$2:$XFD$61,AE26+4,FALSE),0)</f>
        <v>0</v>
      </c>
      <c r="CN26">
        <f>IFERROR(VLOOKUP(CN$6,Hoja1!$F$2:$XFD$61,AF26+4,FALSE),0)</f>
        <v>0</v>
      </c>
      <c r="CO26">
        <f>IFERROR(VLOOKUP(CO$6,Hoja1!$F$2:$XFD$61,AG26+4,FALSE),0)</f>
        <v>0</v>
      </c>
      <c r="CP26">
        <f>IFERROR(VLOOKUP(CP$6,Hoja1!$F$2:$XFD$61,AH26+4,FALSE),0)</f>
        <v>0</v>
      </c>
      <c r="CQ26">
        <f>IFERROR(VLOOKUP(CQ$6,Hoja1!$F$2:$XFD$61,AI26+4,FALSE),0)</f>
        <v>0</v>
      </c>
      <c r="CR26">
        <f>IFERROR(VLOOKUP(CR$6,Hoja1!$F$2:$XFD$61,AJ26+4,FALSE),0)</f>
        <v>0</v>
      </c>
      <c r="CS26">
        <f>IFERROR(VLOOKUP(CS$6,Hoja1!$F$2:$XFD$61,AK26+4,FALSE),0)</f>
        <v>0</v>
      </c>
      <c r="CT26">
        <f>IFERROR(VLOOKUP(CT$6,Hoja1!$F$2:$XFD$61,AL26+4,FALSE),0)</f>
        <v>0</v>
      </c>
      <c r="CU26">
        <f>IFERROR(VLOOKUP(CU$6,Hoja1!$F$2:$XFD$61,AM26+4,FALSE),0)</f>
        <v>0</v>
      </c>
      <c r="CV26">
        <f>IFERROR(VLOOKUP(CV$6,Hoja1!$F$2:$XFD$61,AN26+4,FALSE),0)</f>
        <v>0</v>
      </c>
      <c r="CW26">
        <f>IFERROR(VLOOKUP(CW$6,Hoja1!$F$2:$XFD$61,AO26+4,FALSE),0)</f>
        <v>0</v>
      </c>
      <c r="CX26">
        <f>IFERROR(VLOOKUP(CX$6,Hoja1!$F$2:$XFD$61,AP26+4,FALSE),0)</f>
        <v>0</v>
      </c>
      <c r="CY26">
        <f>IFERROR(VLOOKUP(CY$6,Hoja1!$F$2:$XFD$61,AQ26+4,FALSE),0)</f>
        <v>0</v>
      </c>
      <c r="CZ26">
        <f>IFERROR(VLOOKUP(CZ$6,Hoja1!$F$2:$XFD$61,AR26+4,FALSE),0)</f>
        <v>0</v>
      </c>
      <c r="DA26">
        <f>IFERROR(VLOOKUP(DA$6,Hoja1!$F$2:$XFD$61,AS26+4,FALSE),0)</f>
        <v>0</v>
      </c>
      <c r="DB26">
        <f>IFERROR(VLOOKUP(DB$6,Hoja1!$F$2:$XFD$61,AT26+4,FALSE),0)</f>
        <v>0</v>
      </c>
      <c r="DC26">
        <f>IFERROR(VLOOKUP(DC$6,Hoja1!$F$2:$XFD$61,AU26+4,FALSE),0)</f>
        <v>0</v>
      </c>
      <c r="DD26">
        <f>IFERROR(VLOOKUP(DD$6,Hoja1!$F$2:$XFD$61,AV26+4,FALSE),0)</f>
        <v>0</v>
      </c>
      <c r="DE26">
        <f>IFERROR(VLOOKUP(DE$6,Hoja1!$F$2:$XFD$61,AW26+4,FALSE),0)</f>
        <v>0</v>
      </c>
      <c r="DF26">
        <f>IFERROR(VLOOKUP(DF$6,Hoja1!$F$2:$XFD$61,AX26+4,FALSE),0)</f>
        <v>0</v>
      </c>
      <c r="DG26">
        <f>IFERROR(VLOOKUP(DG$6,Hoja1!$F$2:$XFD$61,AY26+4,FALSE),0)</f>
        <v>0</v>
      </c>
      <c r="DH26">
        <f>IFERROR(VLOOKUP(DH$6,Hoja1!$F$2:$XFD$61,AZ26+4,FALSE),0)</f>
        <v>0</v>
      </c>
      <c r="DI26">
        <f>IFERROR(VLOOKUP(DI$6,Hoja1!$F$2:$XFD$61,BA26+4,FALSE),0)</f>
        <v>0</v>
      </c>
      <c r="DJ26">
        <f>IFERROR(VLOOKUP(DJ$6,Hoja1!$F$2:$XFD$61,BB26+4,FALSE),0)</f>
        <v>0</v>
      </c>
      <c r="DK26">
        <f>IFERROR(VLOOKUP(DK$6,Hoja1!$F$2:$XFD$61,BC26+4,FALSE),0)</f>
        <v>0</v>
      </c>
      <c r="DL26">
        <f>IFERROR(VLOOKUP(DL$6,Hoja1!$F$2:$XFD$61,BD26+4,FALSE),0)</f>
        <v>0</v>
      </c>
      <c r="DM26">
        <f>IFERROR(VLOOKUP(DM$6,Hoja1!$F$2:$XFD$61,BE26+4,FALSE),0)</f>
        <v>0</v>
      </c>
      <c r="DN26">
        <f>IFERROR(VLOOKUP(DN$6,Hoja1!$F$2:$XFD$61,BF26+4,FALSE),0)</f>
        <v>0</v>
      </c>
      <c r="DO26">
        <f>IFERROR(VLOOKUP(DO$6,Hoja1!$F$2:$XFD$61,BG26+4,FALSE),0)</f>
        <v>0</v>
      </c>
      <c r="DP26">
        <f>IFERROR(VLOOKUP(DP$6,Hoja1!$F$2:$XFD$61,BH26+4,FALSE),0)</f>
        <v>0</v>
      </c>
      <c r="DQ26">
        <f>IFERROR(VLOOKUP(DQ$6,Hoja1!$F$2:$XFD$61,BI26+4,FALSE),0)</f>
        <v>0</v>
      </c>
      <c r="DR26">
        <f>IFERROR(VLOOKUP(DR$6,Hoja1!$F$2:$XFD$61,BJ26+4,FALSE),0)</f>
        <v>0</v>
      </c>
      <c r="DS26">
        <f>IFERROR(VLOOKUP(DS$6,Hoja1!$F$2:$XFD$61,BK26+4,FALSE),0)</f>
        <v>0</v>
      </c>
      <c r="DT26">
        <f>IFERROR(VLOOKUP(DT$6,Hoja1!$F$2:$XFD$61,BL26+4,FALSE),0)</f>
        <v>0</v>
      </c>
      <c r="DU26" s="15" t="str">
        <f t="shared" si="0"/>
        <v/>
      </c>
      <c r="DV26" s="16" t="str">
        <f>IF(D26&lt;&gt;"",IF(DU26="","",IF(DU26&gt;=$DU$7*Hoja1!$E$2,4+3/($DU$7*(1-Hoja1!$E$2))*(DU26-$DU$7*Hoja1!$E$2),1+3/($DU$7*Hoja1!$E$2)*DU26)),DU26)</f>
        <v/>
      </c>
      <c r="DW26" s="47" t="b">
        <v>0</v>
      </c>
    </row>
    <row r="27" spans="1:127" ht="23.25" customHeight="1" x14ac:dyDescent="0.25">
      <c r="A27" s="17">
        <v>18</v>
      </c>
      <c r="B27" s="18"/>
      <c r="C27" s="18"/>
      <c r="D27" s="1"/>
      <c r="E27" s="28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29"/>
      <c r="BM27">
        <f>IFERROR(VLOOKUP(BM$6,Hoja1!$F$2:$XFD$61,E27+4,FALSE),0)</f>
        <v>0</v>
      </c>
      <c r="BN27">
        <f>IFERROR(VLOOKUP(BN$6,Hoja1!$F$2:$XFD$61,F27+4,FALSE),0)</f>
        <v>0</v>
      </c>
      <c r="BO27">
        <f>IFERROR(VLOOKUP(BO$6,Hoja1!$F$2:$XFD$61,G27+4,FALSE),0)</f>
        <v>0</v>
      </c>
      <c r="BP27">
        <f>IFERROR(VLOOKUP(BP$6,Hoja1!$F$2:$XFD$61,H27+4,FALSE),0)</f>
        <v>0</v>
      </c>
      <c r="BQ27">
        <f>IFERROR(VLOOKUP(BQ$6,Hoja1!$F$2:$XFD$61,I27+4,FALSE),0)</f>
        <v>0</v>
      </c>
      <c r="BR27">
        <f>IFERROR(VLOOKUP(BR$6,Hoja1!$F$2:$XFD$61,J27+4,FALSE),0)</f>
        <v>0</v>
      </c>
      <c r="BS27">
        <f>IFERROR(VLOOKUP(BS$6,Hoja1!$F$2:$XFD$61,K27+4,FALSE),0)</f>
        <v>0</v>
      </c>
      <c r="BT27">
        <f>IFERROR(VLOOKUP(BT$6,Hoja1!$F$2:$XFD$61,L27+4,FALSE),0)</f>
        <v>0</v>
      </c>
      <c r="BU27">
        <f>IFERROR(VLOOKUP(BU$6,Hoja1!$F$2:$XFD$61,M27+4,FALSE),0)</f>
        <v>0</v>
      </c>
      <c r="BV27">
        <f>IFERROR(VLOOKUP(BV$6,Hoja1!$F$2:$XFD$61,N27+4,FALSE),0)</f>
        <v>0</v>
      </c>
      <c r="BW27">
        <f>IFERROR(VLOOKUP(BW$6,Hoja1!$F$2:$XFD$61,O27+4,FALSE),0)</f>
        <v>0</v>
      </c>
      <c r="BX27">
        <f>IFERROR(VLOOKUP(BX$6,Hoja1!$F$2:$XFD$61,P27+4,FALSE),0)</f>
        <v>0</v>
      </c>
      <c r="BY27">
        <f>IFERROR(VLOOKUP(BY$6,Hoja1!$F$2:$XFD$61,Q27+4,FALSE),0)</f>
        <v>0</v>
      </c>
      <c r="BZ27">
        <f>IFERROR(VLOOKUP(BZ$6,Hoja1!$F$2:$XFD$61,R27+4,FALSE),0)</f>
        <v>0</v>
      </c>
      <c r="CA27">
        <f>IFERROR(VLOOKUP(CA$6,Hoja1!$F$2:$XFD$61,S27+4,FALSE),0)</f>
        <v>0</v>
      </c>
      <c r="CB27">
        <f>IFERROR(VLOOKUP(CB$6,Hoja1!$F$2:$XFD$61,T27+4,FALSE),0)</f>
        <v>0</v>
      </c>
      <c r="CC27">
        <f>IFERROR(VLOOKUP(CC$6,Hoja1!$F$2:$XFD$61,U27+4,FALSE),0)</f>
        <v>0</v>
      </c>
      <c r="CD27">
        <f>IFERROR(VLOOKUP(CD$6,Hoja1!$F$2:$XFD$61,V27+4,FALSE),0)</f>
        <v>0</v>
      </c>
      <c r="CE27">
        <f>IFERROR(VLOOKUP(CE$6,Hoja1!$F$2:$XFD$61,W27+4,FALSE),0)</f>
        <v>0</v>
      </c>
      <c r="CF27">
        <f>IFERROR(VLOOKUP(CF$6,Hoja1!$F$2:$XFD$61,X27+4,FALSE),0)</f>
        <v>0</v>
      </c>
      <c r="CG27">
        <f>IFERROR(VLOOKUP(CG$6,Hoja1!$F$2:$XFD$61,Y27+4,FALSE),0)</f>
        <v>0</v>
      </c>
      <c r="CH27">
        <f>IFERROR(VLOOKUP(CH$6,Hoja1!$F$2:$XFD$61,Z27+4,FALSE),0)</f>
        <v>0</v>
      </c>
      <c r="CI27">
        <f>IFERROR(VLOOKUP(CI$6,Hoja1!$F$2:$XFD$61,AA27+4,FALSE),0)</f>
        <v>0</v>
      </c>
      <c r="CJ27">
        <f>IFERROR(VLOOKUP(CJ$6,Hoja1!$F$2:$XFD$61,AB27+4,FALSE),0)</f>
        <v>0</v>
      </c>
      <c r="CK27">
        <f>IFERROR(VLOOKUP(CK$6,Hoja1!$F$2:$XFD$61,AC27+4,FALSE),0)</f>
        <v>0</v>
      </c>
      <c r="CL27">
        <f>IFERROR(VLOOKUP(CL$6,Hoja1!$F$2:$XFD$61,AD27+4,FALSE),0)</f>
        <v>0</v>
      </c>
      <c r="CM27">
        <f>IFERROR(VLOOKUP(CM$6,Hoja1!$F$2:$XFD$61,AE27+4,FALSE),0)</f>
        <v>0</v>
      </c>
      <c r="CN27">
        <f>IFERROR(VLOOKUP(CN$6,Hoja1!$F$2:$XFD$61,AF27+4,FALSE),0)</f>
        <v>0</v>
      </c>
      <c r="CO27">
        <f>IFERROR(VLOOKUP(CO$6,Hoja1!$F$2:$XFD$61,AG27+4,FALSE),0)</f>
        <v>0</v>
      </c>
      <c r="CP27">
        <f>IFERROR(VLOOKUP(CP$6,Hoja1!$F$2:$XFD$61,AH27+4,FALSE),0)</f>
        <v>0</v>
      </c>
      <c r="CQ27">
        <f>IFERROR(VLOOKUP(CQ$6,Hoja1!$F$2:$XFD$61,AI27+4,FALSE),0)</f>
        <v>0</v>
      </c>
      <c r="CR27">
        <f>IFERROR(VLOOKUP(CR$6,Hoja1!$F$2:$XFD$61,AJ27+4,FALSE),0)</f>
        <v>0</v>
      </c>
      <c r="CS27">
        <f>IFERROR(VLOOKUP(CS$6,Hoja1!$F$2:$XFD$61,AK27+4,FALSE),0)</f>
        <v>0</v>
      </c>
      <c r="CT27">
        <f>IFERROR(VLOOKUP(CT$6,Hoja1!$F$2:$XFD$61,AL27+4,FALSE),0)</f>
        <v>0</v>
      </c>
      <c r="CU27">
        <f>IFERROR(VLOOKUP(CU$6,Hoja1!$F$2:$XFD$61,AM27+4,FALSE),0)</f>
        <v>0</v>
      </c>
      <c r="CV27">
        <f>IFERROR(VLOOKUP(CV$6,Hoja1!$F$2:$XFD$61,AN27+4,FALSE),0)</f>
        <v>0</v>
      </c>
      <c r="CW27">
        <f>IFERROR(VLOOKUP(CW$6,Hoja1!$F$2:$XFD$61,AO27+4,FALSE),0)</f>
        <v>0</v>
      </c>
      <c r="CX27">
        <f>IFERROR(VLOOKUP(CX$6,Hoja1!$F$2:$XFD$61,AP27+4,FALSE),0)</f>
        <v>0</v>
      </c>
      <c r="CY27">
        <f>IFERROR(VLOOKUP(CY$6,Hoja1!$F$2:$XFD$61,AQ27+4,FALSE),0)</f>
        <v>0</v>
      </c>
      <c r="CZ27">
        <f>IFERROR(VLOOKUP(CZ$6,Hoja1!$F$2:$XFD$61,AR27+4,FALSE),0)</f>
        <v>0</v>
      </c>
      <c r="DA27">
        <f>IFERROR(VLOOKUP(DA$6,Hoja1!$F$2:$XFD$61,AS27+4,FALSE),0)</f>
        <v>0</v>
      </c>
      <c r="DB27">
        <f>IFERROR(VLOOKUP(DB$6,Hoja1!$F$2:$XFD$61,AT27+4,FALSE),0)</f>
        <v>0</v>
      </c>
      <c r="DC27">
        <f>IFERROR(VLOOKUP(DC$6,Hoja1!$F$2:$XFD$61,AU27+4,FALSE),0)</f>
        <v>0</v>
      </c>
      <c r="DD27">
        <f>IFERROR(VLOOKUP(DD$6,Hoja1!$F$2:$XFD$61,AV27+4,FALSE),0)</f>
        <v>0</v>
      </c>
      <c r="DE27">
        <f>IFERROR(VLOOKUP(DE$6,Hoja1!$F$2:$XFD$61,AW27+4,FALSE),0)</f>
        <v>0</v>
      </c>
      <c r="DF27">
        <f>IFERROR(VLOOKUP(DF$6,Hoja1!$F$2:$XFD$61,AX27+4,FALSE),0)</f>
        <v>0</v>
      </c>
      <c r="DG27">
        <f>IFERROR(VLOOKUP(DG$6,Hoja1!$F$2:$XFD$61,AY27+4,FALSE),0)</f>
        <v>0</v>
      </c>
      <c r="DH27">
        <f>IFERROR(VLOOKUP(DH$6,Hoja1!$F$2:$XFD$61,AZ27+4,FALSE),0)</f>
        <v>0</v>
      </c>
      <c r="DI27">
        <f>IFERROR(VLOOKUP(DI$6,Hoja1!$F$2:$XFD$61,BA27+4,FALSE),0)</f>
        <v>0</v>
      </c>
      <c r="DJ27">
        <f>IFERROR(VLOOKUP(DJ$6,Hoja1!$F$2:$XFD$61,BB27+4,FALSE),0)</f>
        <v>0</v>
      </c>
      <c r="DK27">
        <f>IFERROR(VLOOKUP(DK$6,Hoja1!$F$2:$XFD$61,BC27+4,FALSE),0)</f>
        <v>0</v>
      </c>
      <c r="DL27">
        <f>IFERROR(VLOOKUP(DL$6,Hoja1!$F$2:$XFD$61,BD27+4,FALSE),0)</f>
        <v>0</v>
      </c>
      <c r="DM27">
        <f>IFERROR(VLOOKUP(DM$6,Hoja1!$F$2:$XFD$61,BE27+4,FALSE),0)</f>
        <v>0</v>
      </c>
      <c r="DN27">
        <f>IFERROR(VLOOKUP(DN$6,Hoja1!$F$2:$XFD$61,BF27+4,FALSE),0)</f>
        <v>0</v>
      </c>
      <c r="DO27">
        <f>IFERROR(VLOOKUP(DO$6,Hoja1!$F$2:$XFD$61,BG27+4,FALSE),0)</f>
        <v>0</v>
      </c>
      <c r="DP27">
        <f>IFERROR(VLOOKUP(DP$6,Hoja1!$F$2:$XFD$61,BH27+4,FALSE),0)</f>
        <v>0</v>
      </c>
      <c r="DQ27">
        <f>IFERROR(VLOOKUP(DQ$6,Hoja1!$F$2:$XFD$61,BI27+4,FALSE),0)</f>
        <v>0</v>
      </c>
      <c r="DR27">
        <f>IFERROR(VLOOKUP(DR$6,Hoja1!$F$2:$XFD$61,BJ27+4,FALSE),0)</f>
        <v>0</v>
      </c>
      <c r="DS27">
        <f>IFERROR(VLOOKUP(DS$6,Hoja1!$F$2:$XFD$61,BK27+4,FALSE),0)</f>
        <v>0</v>
      </c>
      <c r="DT27">
        <f>IFERROR(VLOOKUP(DT$6,Hoja1!$F$2:$XFD$61,BL27+4,FALSE),0)</f>
        <v>0</v>
      </c>
      <c r="DU27" s="15" t="str">
        <f t="shared" si="0"/>
        <v/>
      </c>
      <c r="DV27" s="16" t="str">
        <f>IF(D27&lt;&gt;"",IF(DU27="","",IF(DU27&gt;=$DU$7*Hoja1!$E$2,4+3/($DU$7*(1-Hoja1!$E$2))*(DU27-$DU$7*Hoja1!$E$2),1+3/($DU$7*Hoja1!$E$2)*DU27)),DU27)</f>
        <v/>
      </c>
      <c r="DW27" s="47" t="b">
        <v>0</v>
      </c>
    </row>
    <row r="28" spans="1:127" ht="23.25" customHeight="1" x14ac:dyDescent="0.25">
      <c r="A28" s="17">
        <v>19</v>
      </c>
      <c r="B28" s="18"/>
      <c r="C28" s="18"/>
      <c r="D28" s="1"/>
      <c r="E28" s="28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29"/>
      <c r="BM28">
        <f>IFERROR(VLOOKUP(BM$6,Hoja1!$F$2:$XFD$61,E28+4,FALSE),0)</f>
        <v>0</v>
      </c>
      <c r="BN28">
        <f>IFERROR(VLOOKUP(BN$6,Hoja1!$F$2:$XFD$61,F28+4,FALSE),0)</f>
        <v>0</v>
      </c>
      <c r="BO28">
        <f>IFERROR(VLOOKUP(BO$6,Hoja1!$F$2:$XFD$61,G28+4,FALSE),0)</f>
        <v>0</v>
      </c>
      <c r="BP28">
        <f>IFERROR(VLOOKUP(BP$6,Hoja1!$F$2:$XFD$61,H28+4,FALSE),0)</f>
        <v>0</v>
      </c>
      <c r="BQ28">
        <f>IFERROR(VLOOKUP(BQ$6,Hoja1!$F$2:$XFD$61,I28+4,FALSE),0)</f>
        <v>0</v>
      </c>
      <c r="BR28">
        <f>IFERROR(VLOOKUP(BR$6,Hoja1!$F$2:$XFD$61,J28+4,FALSE),0)</f>
        <v>0</v>
      </c>
      <c r="BS28">
        <f>IFERROR(VLOOKUP(BS$6,Hoja1!$F$2:$XFD$61,K28+4,FALSE),0)</f>
        <v>0</v>
      </c>
      <c r="BT28">
        <f>IFERROR(VLOOKUP(BT$6,Hoja1!$F$2:$XFD$61,L28+4,FALSE),0)</f>
        <v>0</v>
      </c>
      <c r="BU28">
        <f>IFERROR(VLOOKUP(BU$6,Hoja1!$F$2:$XFD$61,M28+4,FALSE),0)</f>
        <v>0</v>
      </c>
      <c r="BV28">
        <f>IFERROR(VLOOKUP(BV$6,Hoja1!$F$2:$XFD$61,N28+4,FALSE),0)</f>
        <v>0</v>
      </c>
      <c r="BW28">
        <f>IFERROR(VLOOKUP(BW$6,Hoja1!$F$2:$XFD$61,O28+4,FALSE),0)</f>
        <v>0</v>
      </c>
      <c r="BX28">
        <f>IFERROR(VLOOKUP(BX$6,Hoja1!$F$2:$XFD$61,P28+4,FALSE),0)</f>
        <v>0</v>
      </c>
      <c r="BY28">
        <f>IFERROR(VLOOKUP(BY$6,Hoja1!$F$2:$XFD$61,Q28+4,FALSE),0)</f>
        <v>0</v>
      </c>
      <c r="BZ28">
        <f>IFERROR(VLOOKUP(BZ$6,Hoja1!$F$2:$XFD$61,R28+4,FALSE),0)</f>
        <v>0</v>
      </c>
      <c r="CA28">
        <f>IFERROR(VLOOKUP(CA$6,Hoja1!$F$2:$XFD$61,S28+4,FALSE),0)</f>
        <v>0</v>
      </c>
      <c r="CB28">
        <f>IFERROR(VLOOKUP(CB$6,Hoja1!$F$2:$XFD$61,T28+4,FALSE),0)</f>
        <v>0</v>
      </c>
      <c r="CC28">
        <f>IFERROR(VLOOKUP(CC$6,Hoja1!$F$2:$XFD$61,U28+4,FALSE),0)</f>
        <v>0</v>
      </c>
      <c r="CD28">
        <f>IFERROR(VLOOKUP(CD$6,Hoja1!$F$2:$XFD$61,V28+4,FALSE),0)</f>
        <v>0</v>
      </c>
      <c r="CE28">
        <f>IFERROR(VLOOKUP(CE$6,Hoja1!$F$2:$XFD$61,W28+4,FALSE),0)</f>
        <v>0</v>
      </c>
      <c r="CF28">
        <f>IFERROR(VLOOKUP(CF$6,Hoja1!$F$2:$XFD$61,X28+4,FALSE),0)</f>
        <v>0</v>
      </c>
      <c r="CG28">
        <f>IFERROR(VLOOKUP(CG$6,Hoja1!$F$2:$XFD$61,Y28+4,FALSE),0)</f>
        <v>0</v>
      </c>
      <c r="CH28">
        <f>IFERROR(VLOOKUP(CH$6,Hoja1!$F$2:$XFD$61,Z28+4,FALSE),0)</f>
        <v>0</v>
      </c>
      <c r="CI28">
        <f>IFERROR(VLOOKUP(CI$6,Hoja1!$F$2:$XFD$61,AA28+4,FALSE),0)</f>
        <v>0</v>
      </c>
      <c r="CJ28">
        <f>IFERROR(VLOOKUP(CJ$6,Hoja1!$F$2:$XFD$61,AB28+4,FALSE),0)</f>
        <v>0</v>
      </c>
      <c r="CK28">
        <f>IFERROR(VLOOKUP(CK$6,Hoja1!$F$2:$XFD$61,AC28+4,FALSE),0)</f>
        <v>0</v>
      </c>
      <c r="CL28">
        <f>IFERROR(VLOOKUP(CL$6,Hoja1!$F$2:$XFD$61,AD28+4,FALSE),0)</f>
        <v>0</v>
      </c>
      <c r="CM28">
        <f>IFERROR(VLOOKUP(CM$6,Hoja1!$F$2:$XFD$61,AE28+4,FALSE),0)</f>
        <v>0</v>
      </c>
      <c r="CN28">
        <f>IFERROR(VLOOKUP(CN$6,Hoja1!$F$2:$XFD$61,AF28+4,FALSE),0)</f>
        <v>0</v>
      </c>
      <c r="CO28">
        <f>IFERROR(VLOOKUP(CO$6,Hoja1!$F$2:$XFD$61,AG28+4,FALSE),0)</f>
        <v>0</v>
      </c>
      <c r="CP28">
        <f>IFERROR(VLOOKUP(CP$6,Hoja1!$F$2:$XFD$61,AH28+4,FALSE),0)</f>
        <v>0</v>
      </c>
      <c r="CQ28">
        <f>IFERROR(VLOOKUP(CQ$6,Hoja1!$F$2:$XFD$61,AI28+4,FALSE),0)</f>
        <v>0</v>
      </c>
      <c r="CR28">
        <f>IFERROR(VLOOKUP(CR$6,Hoja1!$F$2:$XFD$61,AJ28+4,FALSE),0)</f>
        <v>0</v>
      </c>
      <c r="CS28">
        <f>IFERROR(VLOOKUP(CS$6,Hoja1!$F$2:$XFD$61,AK28+4,FALSE),0)</f>
        <v>0</v>
      </c>
      <c r="CT28">
        <f>IFERROR(VLOOKUP(CT$6,Hoja1!$F$2:$XFD$61,AL28+4,FALSE),0)</f>
        <v>0</v>
      </c>
      <c r="CU28">
        <f>IFERROR(VLOOKUP(CU$6,Hoja1!$F$2:$XFD$61,AM28+4,FALSE),0)</f>
        <v>0</v>
      </c>
      <c r="CV28">
        <f>IFERROR(VLOOKUP(CV$6,Hoja1!$F$2:$XFD$61,AN28+4,FALSE),0)</f>
        <v>0</v>
      </c>
      <c r="CW28">
        <f>IFERROR(VLOOKUP(CW$6,Hoja1!$F$2:$XFD$61,AO28+4,FALSE),0)</f>
        <v>0</v>
      </c>
      <c r="CX28">
        <f>IFERROR(VLOOKUP(CX$6,Hoja1!$F$2:$XFD$61,AP28+4,FALSE),0)</f>
        <v>0</v>
      </c>
      <c r="CY28">
        <f>IFERROR(VLOOKUP(CY$6,Hoja1!$F$2:$XFD$61,AQ28+4,FALSE),0)</f>
        <v>0</v>
      </c>
      <c r="CZ28">
        <f>IFERROR(VLOOKUP(CZ$6,Hoja1!$F$2:$XFD$61,AR28+4,FALSE),0)</f>
        <v>0</v>
      </c>
      <c r="DA28">
        <f>IFERROR(VLOOKUP(DA$6,Hoja1!$F$2:$XFD$61,AS28+4,FALSE),0)</f>
        <v>0</v>
      </c>
      <c r="DB28">
        <f>IFERROR(VLOOKUP(DB$6,Hoja1!$F$2:$XFD$61,AT28+4,FALSE),0)</f>
        <v>0</v>
      </c>
      <c r="DC28">
        <f>IFERROR(VLOOKUP(DC$6,Hoja1!$F$2:$XFD$61,AU28+4,FALSE),0)</f>
        <v>0</v>
      </c>
      <c r="DD28">
        <f>IFERROR(VLOOKUP(DD$6,Hoja1!$F$2:$XFD$61,AV28+4,FALSE),0)</f>
        <v>0</v>
      </c>
      <c r="DE28">
        <f>IFERROR(VLOOKUP(DE$6,Hoja1!$F$2:$XFD$61,AW28+4,FALSE),0)</f>
        <v>0</v>
      </c>
      <c r="DF28">
        <f>IFERROR(VLOOKUP(DF$6,Hoja1!$F$2:$XFD$61,AX28+4,FALSE),0)</f>
        <v>0</v>
      </c>
      <c r="DG28">
        <f>IFERROR(VLOOKUP(DG$6,Hoja1!$F$2:$XFD$61,AY28+4,FALSE),0)</f>
        <v>0</v>
      </c>
      <c r="DH28">
        <f>IFERROR(VLOOKUP(DH$6,Hoja1!$F$2:$XFD$61,AZ28+4,FALSE),0)</f>
        <v>0</v>
      </c>
      <c r="DI28">
        <f>IFERROR(VLOOKUP(DI$6,Hoja1!$F$2:$XFD$61,BA28+4,FALSE),0)</f>
        <v>0</v>
      </c>
      <c r="DJ28">
        <f>IFERROR(VLOOKUP(DJ$6,Hoja1!$F$2:$XFD$61,BB28+4,FALSE),0)</f>
        <v>0</v>
      </c>
      <c r="DK28">
        <f>IFERROR(VLOOKUP(DK$6,Hoja1!$F$2:$XFD$61,BC28+4,FALSE),0)</f>
        <v>0</v>
      </c>
      <c r="DL28">
        <f>IFERROR(VLOOKUP(DL$6,Hoja1!$F$2:$XFD$61,BD28+4,FALSE),0)</f>
        <v>0</v>
      </c>
      <c r="DM28">
        <f>IFERROR(VLOOKUP(DM$6,Hoja1!$F$2:$XFD$61,BE28+4,FALSE),0)</f>
        <v>0</v>
      </c>
      <c r="DN28">
        <f>IFERROR(VLOOKUP(DN$6,Hoja1!$F$2:$XFD$61,BF28+4,FALSE),0)</f>
        <v>0</v>
      </c>
      <c r="DO28">
        <f>IFERROR(VLOOKUP(DO$6,Hoja1!$F$2:$XFD$61,BG28+4,FALSE),0)</f>
        <v>0</v>
      </c>
      <c r="DP28">
        <f>IFERROR(VLOOKUP(DP$6,Hoja1!$F$2:$XFD$61,BH28+4,FALSE),0)</f>
        <v>0</v>
      </c>
      <c r="DQ28">
        <f>IFERROR(VLOOKUP(DQ$6,Hoja1!$F$2:$XFD$61,BI28+4,FALSE),0)</f>
        <v>0</v>
      </c>
      <c r="DR28">
        <f>IFERROR(VLOOKUP(DR$6,Hoja1!$F$2:$XFD$61,BJ28+4,FALSE),0)</f>
        <v>0</v>
      </c>
      <c r="DS28">
        <f>IFERROR(VLOOKUP(DS$6,Hoja1!$F$2:$XFD$61,BK28+4,FALSE),0)</f>
        <v>0</v>
      </c>
      <c r="DT28">
        <f>IFERROR(VLOOKUP(DT$6,Hoja1!$F$2:$XFD$61,BL28+4,FALSE),0)</f>
        <v>0</v>
      </c>
      <c r="DU28" s="15" t="str">
        <f t="shared" si="0"/>
        <v/>
      </c>
      <c r="DV28" s="16" t="str">
        <f>IF(D28&lt;&gt;"",IF(DU28="","",IF(DU28&gt;=$DU$7*Hoja1!$E$2,4+3/($DU$7*(1-Hoja1!$E$2))*(DU28-$DU$7*Hoja1!$E$2),1+3/($DU$7*Hoja1!$E$2)*DU28)),DU28)</f>
        <v/>
      </c>
      <c r="DW28" s="47" t="b">
        <v>0</v>
      </c>
    </row>
    <row r="29" spans="1:127" ht="23.25" customHeight="1" x14ac:dyDescent="0.25">
      <c r="A29" s="17">
        <v>20</v>
      </c>
      <c r="B29" s="18"/>
      <c r="C29" s="18"/>
      <c r="D29" s="1"/>
      <c r="E29" s="28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29"/>
      <c r="BM29">
        <f>IFERROR(VLOOKUP(BM$6,Hoja1!$F$2:$XFD$61,E29+4,FALSE),0)</f>
        <v>0</v>
      </c>
      <c r="BN29">
        <f>IFERROR(VLOOKUP(BN$6,Hoja1!$F$2:$XFD$61,F29+4,FALSE),0)</f>
        <v>0</v>
      </c>
      <c r="BO29">
        <f>IFERROR(VLOOKUP(BO$6,Hoja1!$F$2:$XFD$61,G29+4,FALSE),0)</f>
        <v>0</v>
      </c>
      <c r="BP29">
        <f>IFERROR(VLOOKUP(BP$6,Hoja1!$F$2:$XFD$61,H29+4,FALSE),0)</f>
        <v>0</v>
      </c>
      <c r="BQ29">
        <f>IFERROR(VLOOKUP(BQ$6,Hoja1!$F$2:$XFD$61,I29+4,FALSE),0)</f>
        <v>0</v>
      </c>
      <c r="BR29">
        <f>IFERROR(VLOOKUP(BR$6,Hoja1!$F$2:$XFD$61,J29+4,FALSE),0)</f>
        <v>0</v>
      </c>
      <c r="BS29">
        <f>IFERROR(VLOOKUP(BS$6,Hoja1!$F$2:$XFD$61,K29+4,FALSE),0)</f>
        <v>0</v>
      </c>
      <c r="BT29">
        <f>IFERROR(VLOOKUP(BT$6,Hoja1!$F$2:$XFD$61,L29+4,FALSE),0)</f>
        <v>0</v>
      </c>
      <c r="BU29">
        <f>IFERROR(VLOOKUP(BU$6,Hoja1!$F$2:$XFD$61,M29+4,FALSE),0)</f>
        <v>0</v>
      </c>
      <c r="BV29">
        <f>IFERROR(VLOOKUP(BV$6,Hoja1!$F$2:$XFD$61,N29+4,FALSE),0)</f>
        <v>0</v>
      </c>
      <c r="BW29">
        <f>IFERROR(VLOOKUP(BW$6,Hoja1!$F$2:$XFD$61,O29+4,FALSE),0)</f>
        <v>0</v>
      </c>
      <c r="BX29">
        <f>IFERROR(VLOOKUP(BX$6,Hoja1!$F$2:$XFD$61,P29+4,FALSE),0)</f>
        <v>0</v>
      </c>
      <c r="BY29">
        <f>IFERROR(VLOOKUP(BY$6,Hoja1!$F$2:$XFD$61,Q29+4,FALSE),0)</f>
        <v>0</v>
      </c>
      <c r="BZ29">
        <f>IFERROR(VLOOKUP(BZ$6,Hoja1!$F$2:$XFD$61,R29+4,FALSE),0)</f>
        <v>0</v>
      </c>
      <c r="CA29">
        <f>IFERROR(VLOOKUP(CA$6,Hoja1!$F$2:$XFD$61,S29+4,FALSE),0)</f>
        <v>0</v>
      </c>
      <c r="CB29">
        <f>IFERROR(VLOOKUP(CB$6,Hoja1!$F$2:$XFD$61,T29+4,FALSE),0)</f>
        <v>0</v>
      </c>
      <c r="CC29">
        <f>IFERROR(VLOOKUP(CC$6,Hoja1!$F$2:$XFD$61,U29+4,FALSE),0)</f>
        <v>0</v>
      </c>
      <c r="CD29">
        <f>IFERROR(VLOOKUP(CD$6,Hoja1!$F$2:$XFD$61,V29+4,FALSE),0)</f>
        <v>0</v>
      </c>
      <c r="CE29">
        <f>IFERROR(VLOOKUP(CE$6,Hoja1!$F$2:$XFD$61,W29+4,FALSE),0)</f>
        <v>0</v>
      </c>
      <c r="CF29">
        <f>IFERROR(VLOOKUP(CF$6,Hoja1!$F$2:$XFD$61,X29+4,FALSE),0)</f>
        <v>0</v>
      </c>
      <c r="CG29">
        <f>IFERROR(VLOOKUP(CG$6,Hoja1!$F$2:$XFD$61,Y29+4,FALSE),0)</f>
        <v>0</v>
      </c>
      <c r="CH29">
        <f>IFERROR(VLOOKUP(CH$6,Hoja1!$F$2:$XFD$61,Z29+4,FALSE),0)</f>
        <v>0</v>
      </c>
      <c r="CI29">
        <f>IFERROR(VLOOKUP(CI$6,Hoja1!$F$2:$XFD$61,AA29+4,FALSE),0)</f>
        <v>0</v>
      </c>
      <c r="CJ29">
        <f>IFERROR(VLOOKUP(CJ$6,Hoja1!$F$2:$XFD$61,AB29+4,FALSE),0)</f>
        <v>0</v>
      </c>
      <c r="CK29">
        <f>IFERROR(VLOOKUP(CK$6,Hoja1!$F$2:$XFD$61,AC29+4,FALSE),0)</f>
        <v>0</v>
      </c>
      <c r="CL29">
        <f>IFERROR(VLOOKUP(CL$6,Hoja1!$F$2:$XFD$61,AD29+4,FALSE),0)</f>
        <v>0</v>
      </c>
      <c r="CM29">
        <f>IFERROR(VLOOKUP(CM$6,Hoja1!$F$2:$XFD$61,AE29+4,FALSE),0)</f>
        <v>0</v>
      </c>
      <c r="CN29">
        <f>IFERROR(VLOOKUP(CN$6,Hoja1!$F$2:$XFD$61,AF29+4,FALSE),0)</f>
        <v>0</v>
      </c>
      <c r="CO29">
        <f>IFERROR(VLOOKUP(CO$6,Hoja1!$F$2:$XFD$61,AG29+4,FALSE),0)</f>
        <v>0</v>
      </c>
      <c r="CP29">
        <f>IFERROR(VLOOKUP(CP$6,Hoja1!$F$2:$XFD$61,AH29+4,FALSE),0)</f>
        <v>0</v>
      </c>
      <c r="CQ29">
        <f>IFERROR(VLOOKUP(CQ$6,Hoja1!$F$2:$XFD$61,AI29+4,FALSE),0)</f>
        <v>0</v>
      </c>
      <c r="CR29">
        <f>IFERROR(VLOOKUP(CR$6,Hoja1!$F$2:$XFD$61,AJ29+4,FALSE),0)</f>
        <v>0</v>
      </c>
      <c r="CS29">
        <f>IFERROR(VLOOKUP(CS$6,Hoja1!$F$2:$XFD$61,AK29+4,FALSE),0)</f>
        <v>0</v>
      </c>
      <c r="CT29">
        <f>IFERROR(VLOOKUP(CT$6,Hoja1!$F$2:$XFD$61,AL29+4,FALSE),0)</f>
        <v>0</v>
      </c>
      <c r="CU29">
        <f>IFERROR(VLOOKUP(CU$6,Hoja1!$F$2:$XFD$61,AM29+4,FALSE),0)</f>
        <v>0</v>
      </c>
      <c r="CV29">
        <f>IFERROR(VLOOKUP(CV$6,Hoja1!$F$2:$XFD$61,AN29+4,FALSE),0)</f>
        <v>0</v>
      </c>
      <c r="CW29">
        <f>IFERROR(VLOOKUP(CW$6,Hoja1!$F$2:$XFD$61,AO29+4,FALSE),0)</f>
        <v>0</v>
      </c>
      <c r="CX29">
        <f>IFERROR(VLOOKUP(CX$6,Hoja1!$F$2:$XFD$61,AP29+4,FALSE),0)</f>
        <v>0</v>
      </c>
      <c r="CY29">
        <f>IFERROR(VLOOKUP(CY$6,Hoja1!$F$2:$XFD$61,AQ29+4,FALSE),0)</f>
        <v>0</v>
      </c>
      <c r="CZ29">
        <f>IFERROR(VLOOKUP(CZ$6,Hoja1!$F$2:$XFD$61,AR29+4,FALSE),0)</f>
        <v>0</v>
      </c>
      <c r="DA29">
        <f>IFERROR(VLOOKUP(DA$6,Hoja1!$F$2:$XFD$61,AS29+4,FALSE),0)</f>
        <v>0</v>
      </c>
      <c r="DB29">
        <f>IFERROR(VLOOKUP(DB$6,Hoja1!$F$2:$XFD$61,AT29+4,FALSE),0)</f>
        <v>0</v>
      </c>
      <c r="DC29">
        <f>IFERROR(VLOOKUP(DC$6,Hoja1!$F$2:$XFD$61,AU29+4,FALSE),0)</f>
        <v>0</v>
      </c>
      <c r="DD29">
        <f>IFERROR(VLOOKUP(DD$6,Hoja1!$F$2:$XFD$61,AV29+4,FALSE),0)</f>
        <v>0</v>
      </c>
      <c r="DE29">
        <f>IFERROR(VLOOKUP(DE$6,Hoja1!$F$2:$XFD$61,AW29+4,FALSE),0)</f>
        <v>0</v>
      </c>
      <c r="DF29">
        <f>IFERROR(VLOOKUP(DF$6,Hoja1!$F$2:$XFD$61,AX29+4,FALSE),0)</f>
        <v>0</v>
      </c>
      <c r="DG29">
        <f>IFERROR(VLOOKUP(DG$6,Hoja1!$F$2:$XFD$61,AY29+4,FALSE),0)</f>
        <v>0</v>
      </c>
      <c r="DH29">
        <f>IFERROR(VLOOKUP(DH$6,Hoja1!$F$2:$XFD$61,AZ29+4,FALSE),0)</f>
        <v>0</v>
      </c>
      <c r="DI29">
        <f>IFERROR(VLOOKUP(DI$6,Hoja1!$F$2:$XFD$61,BA29+4,FALSE),0)</f>
        <v>0</v>
      </c>
      <c r="DJ29">
        <f>IFERROR(VLOOKUP(DJ$6,Hoja1!$F$2:$XFD$61,BB29+4,FALSE),0)</f>
        <v>0</v>
      </c>
      <c r="DK29">
        <f>IFERROR(VLOOKUP(DK$6,Hoja1!$F$2:$XFD$61,BC29+4,FALSE),0)</f>
        <v>0</v>
      </c>
      <c r="DL29">
        <f>IFERROR(VLOOKUP(DL$6,Hoja1!$F$2:$XFD$61,BD29+4,FALSE),0)</f>
        <v>0</v>
      </c>
      <c r="DM29">
        <f>IFERROR(VLOOKUP(DM$6,Hoja1!$F$2:$XFD$61,BE29+4,FALSE),0)</f>
        <v>0</v>
      </c>
      <c r="DN29">
        <f>IFERROR(VLOOKUP(DN$6,Hoja1!$F$2:$XFD$61,BF29+4,FALSE),0)</f>
        <v>0</v>
      </c>
      <c r="DO29">
        <f>IFERROR(VLOOKUP(DO$6,Hoja1!$F$2:$XFD$61,BG29+4,FALSE),0)</f>
        <v>0</v>
      </c>
      <c r="DP29">
        <f>IFERROR(VLOOKUP(DP$6,Hoja1!$F$2:$XFD$61,BH29+4,FALSE),0)</f>
        <v>0</v>
      </c>
      <c r="DQ29">
        <f>IFERROR(VLOOKUP(DQ$6,Hoja1!$F$2:$XFD$61,BI29+4,FALSE),0)</f>
        <v>0</v>
      </c>
      <c r="DR29">
        <f>IFERROR(VLOOKUP(DR$6,Hoja1!$F$2:$XFD$61,BJ29+4,FALSE),0)</f>
        <v>0</v>
      </c>
      <c r="DS29">
        <f>IFERROR(VLOOKUP(DS$6,Hoja1!$F$2:$XFD$61,BK29+4,FALSE),0)</f>
        <v>0</v>
      </c>
      <c r="DT29">
        <f>IFERROR(VLOOKUP(DT$6,Hoja1!$F$2:$XFD$61,BL29+4,FALSE),0)</f>
        <v>0</v>
      </c>
      <c r="DU29" s="15" t="str">
        <f t="shared" si="0"/>
        <v/>
      </c>
      <c r="DV29" s="16" t="str">
        <f>IF(D29&lt;&gt;"",IF(DU29="","",IF(DU29&gt;=$DU$7*Hoja1!$E$2,4+3/($DU$7*(1-Hoja1!$E$2))*(DU29-$DU$7*Hoja1!$E$2),1+3/($DU$7*Hoja1!$E$2)*DU29)),DU29)</f>
        <v/>
      </c>
      <c r="DW29" s="47" t="b">
        <v>0</v>
      </c>
    </row>
    <row r="30" spans="1:127" ht="23.25" customHeight="1" x14ac:dyDescent="0.25">
      <c r="A30" s="17">
        <v>21</v>
      </c>
      <c r="B30" s="18"/>
      <c r="C30" s="18"/>
      <c r="D30" s="1"/>
      <c r="E30" s="28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29"/>
      <c r="BM30">
        <f>IFERROR(VLOOKUP(BM$6,Hoja1!$F$2:$XFD$61,E30+4,FALSE),0)</f>
        <v>0</v>
      </c>
      <c r="BN30">
        <f>IFERROR(VLOOKUP(BN$6,Hoja1!$F$2:$XFD$61,F30+4,FALSE),0)</f>
        <v>0</v>
      </c>
      <c r="BO30">
        <f>IFERROR(VLOOKUP(BO$6,Hoja1!$F$2:$XFD$61,G30+4,FALSE),0)</f>
        <v>0</v>
      </c>
      <c r="BP30">
        <f>IFERROR(VLOOKUP(BP$6,Hoja1!$F$2:$XFD$61,H30+4,FALSE),0)</f>
        <v>0</v>
      </c>
      <c r="BQ30">
        <f>IFERROR(VLOOKUP(BQ$6,Hoja1!$F$2:$XFD$61,I30+4,FALSE),0)</f>
        <v>0</v>
      </c>
      <c r="BR30">
        <f>IFERROR(VLOOKUP(BR$6,Hoja1!$F$2:$XFD$61,J30+4,FALSE),0)</f>
        <v>0</v>
      </c>
      <c r="BS30">
        <f>IFERROR(VLOOKUP(BS$6,Hoja1!$F$2:$XFD$61,K30+4,FALSE),0)</f>
        <v>0</v>
      </c>
      <c r="BT30">
        <f>IFERROR(VLOOKUP(BT$6,Hoja1!$F$2:$XFD$61,L30+4,FALSE),0)</f>
        <v>0</v>
      </c>
      <c r="BU30">
        <f>IFERROR(VLOOKUP(BU$6,Hoja1!$F$2:$XFD$61,M30+4,FALSE),0)</f>
        <v>0</v>
      </c>
      <c r="BV30">
        <f>IFERROR(VLOOKUP(BV$6,Hoja1!$F$2:$XFD$61,N30+4,FALSE),0)</f>
        <v>0</v>
      </c>
      <c r="BW30">
        <f>IFERROR(VLOOKUP(BW$6,Hoja1!$F$2:$XFD$61,O30+4,FALSE),0)</f>
        <v>0</v>
      </c>
      <c r="BX30">
        <f>IFERROR(VLOOKUP(BX$6,Hoja1!$F$2:$XFD$61,P30+4,FALSE),0)</f>
        <v>0</v>
      </c>
      <c r="BY30">
        <f>IFERROR(VLOOKUP(BY$6,Hoja1!$F$2:$XFD$61,Q30+4,FALSE),0)</f>
        <v>0</v>
      </c>
      <c r="BZ30">
        <f>IFERROR(VLOOKUP(BZ$6,Hoja1!$F$2:$XFD$61,R30+4,FALSE),0)</f>
        <v>0</v>
      </c>
      <c r="CA30">
        <f>IFERROR(VLOOKUP(CA$6,Hoja1!$F$2:$XFD$61,S30+4,FALSE),0)</f>
        <v>0</v>
      </c>
      <c r="CB30">
        <f>IFERROR(VLOOKUP(CB$6,Hoja1!$F$2:$XFD$61,T30+4,FALSE),0)</f>
        <v>0</v>
      </c>
      <c r="CC30">
        <f>IFERROR(VLOOKUP(CC$6,Hoja1!$F$2:$XFD$61,U30+4,FALSE),0)</f>
        <v>0</v>
      </c>
      <c r="CD30">
        <f>IFERROR(VLOOKUP(CD$6,Hoja1!$F$2:$XFD$61,V30+4,FALSE),0)</f>
        <v>0</v>
      </c>
      <c r="CE30">
        <f>IFERROR(VLOOKUP(CE$6,Hoja1!$F$2:$XFD$61,W30+4,FALSE),0)</f>
        <v>0</v>
      </c>
      <c r="CF30">
        <f>IFERROR(VLOOKUP(CF$6,Hoja1!$F$2:$XFD$61,X30+4,FALSE),0)</f>
        <v>0</v>
      </c>
      <c r="CG30">
        <f>IFERROR(VLOOKUP(CG$6,Hoja1!$F$2:$XFD$61,Y30+4,FALSE),0)</f>
        <v>0</v>
      </c>
      <c r="CH30">
        <f>IFERROR(VLOOKUP(CH$6,Hoja1!$F$2:$XFD$61,Z30+4,FALSE),0)</f>
        <v>0</v>
      </c>
      <c r="CI30">
        <f>IFERROR(VLOOKUP(CI$6,Hoja1!$F$2:$XFD$61,AA30+4,FALSE),0)</f>
        <v>0</v>
      </c>
      <c r="CJ30">
        <f>IFERROR(VLOOKUP(CJ$6,Hoja1!$F$2:$XFD$61,AB30+4,FALSE),0)</f>
        <v>0</v>
      </c>
      <c r="CK30">
        <f>IFERROR(VLOOKUP(CK$6,Hoja1!$F$2:$XFD$61,AC30+4,FALSE),0)</f>
        <v>0</v>
      </c>
      <c r="CL30">
        <f>IFERROR(VLOOKUP(CL$6,Hoja1!$F$2:$XFD$61,AD30+4,FALSE),0)</f>
        <v>0</v>
      </c>
      <c r="CM30">
        <f>IFERROR(VLOOKUP(CM$6,Hoja1!$F$2:$XFD$61,AE30+4,FALSE),0)</f>
        <v>0</v>
      </c>
      <c r="CN30">
        <f>IFERROR(VLOOKUP(CN$6,Hoja1!$F$2:$XFD$61,AF30+4,FALSE),0)</f>
        <v>0</v>
      </c>
      <c r="CO30">
        <f>IFERROR(VLOOKUP(CO$6,Hoja1!$F$2:$XFD$61,AG30+4,FALSE),0)</f>
        <v>0</v>
      </c>
      <c r="CP30">
        <f>IFERROR(VLOOKUP(CP$6,Hoja1!$F$2:$XFD$61,AH30+4,FALSE),0)</f>
        <v>0</v>
      </c>
      <c r="CQ30">
        <f>IFERROR(VLOOKUP(CQ$6,Hoja1!$F$2:$XFD$61,AI30+4,FALSE),0)</f>
        <v>0</v>
      </c>
      <c r="CR30">
        <f>IFERROR(VLOOKUP(CR$6,Hoja1!$F$2:$XFD$61,AJ30+4,FALSE),0)</f>
        <v>0</v>
      </c>
      <c r="CS30">
        <f>IFERROR(VLOOKUP(CS$6,Hoja1!$F$2:$XFD$61,AK30+4,FALSE),0)</f>
        <v>0</v>
      </c>
      <c r="CT30">
        <f>IFERROR(VLOOKUP(CT$6,Hoja1!$F$2:$XFD$61,AL30+4,FALSE),0)</f>
        <v>0</v>
      </c>
      <c r="CU30">
        <f>IFERROR(VLOOKUP(CU$6,Hoja1!$F$2:$XFD$61,AM30+4,FALSE),0)</f>
        <v>0</v>
      </c>
      <c r="CV30">
        <f>IFERROR(VLOOKUP(CV$6,Hoja1!$F$2:$XFD$61,AN30+4,FALSE),0)</f>
        <v>0</v>
      </c>
      <c r="CW30">
        <f>IFERROR(VLOOKUP(CW$6,Hoja1!$F$2:$XFD$61,AO30+4,FALSE),0)</f>
        <v>0</v>
      </c>
      <c r="CX30">
        <f>IFERROR(VLOOKUP(CX$6,Hoja1!$F$2:$XFD$61,AP30+4,FALSE),0)</f>
        <v>0</v>
      </c>
      <c r="CY30">
        <f>IFERROR(VLOOKUP(CY$6,Hoja1!$F$2:$XFD$61,AQ30+4,FALSE),0)</f>
        <v>0</v>
      </c>
      <c r="CZ30">
        <f>IFERROR(VLOOKUP(CZ$6,Hoja1!$F$2:$XFD$61,AR30+4,FALSE),0)</f>
        <v>0</v>
      </c>
      <c r="DA30">
        <f>IFERROR(VLOOKUP(DA$6,Hoja1!$F$2:$XFD$61,AS30+4,FALSE),0)</f>
        <v>0</v>
      </c>
      <c r="DB30">
        <f>IFERROR(VLOOKUP(DB$6,Hoja1!$F$2:$XFD$61,AT30+4,FALSE),0)</f>
        <v>0</v>
      </c>
      <c r="DC30">
        <f>IFERROR(VLOOKUP(DC$6,Hoja1!$F$2:$XFD$61,AU30+4,FALSE),0)</f>
        <v>0</v>
      </c>
      <c r="DD30">
        <f>IFERROR(VLOOKUP(DD$6,Hoja1!$F$2:$XFD$61,AV30+4,FALSE),0)</f>
        <v>0</v>
      </c>
      <c r="DE30">
        <f>IFERROR(VLOOKUP(DE$6,Hoja1!$F$2:$XFD$61,AW30+4,FALSE),0)</f>
        <v>0</v>
      </c>
      <c r="DF30">
        <f>IFERROR(VLOOKUP(DF$6,Hoja1!$F$2:$XFD$61,AX30+4,FALSE),0)</f>
        <v>0</v>
      </c>
      <c r="DG30">
        <f>IFERROR(VLOOKUP(DG$6,Hoja1!$F$2:$XFD$61,AY30+4,FALSE),0)</f>
        <v>0</v>
      </c>
      <c r="DH30">
        <f>IFERROR(VLOOKUP(DH$6,Hoja1!$F$2:$XFD$61,AZ30+4,FALSE),0)</f>
        <v>0</v>
      </c>
      <c r="DI30">
        <f>IFERROR(VLOOKUP(DI$6,Hoja1!$F$2:$XFD$61,BA30+4,FALSE),0)</f>
        <v>0</v>
      </c>
      <c r="DJ30">
        <f>IFERROR(VLOOKUP(DJ$6,Hoja1!$F$2:$XFD$61,BB30+4,FALSE),0)</f>
        <v>0</v>
      </c>
      <c r="DK30">
        <f>IFERROR(VLOOKUP(DK$6,Hoja1!$F$2:$XFD$61,BC30+4,FALSE),0)</f>
        <v>0</v>
      </c>
      <c r="DL30">
        <f>IFERROR(VLOOKUP(DL$6,Hoja1!$F$2:$XFD$61,BD30+4,FALSE),0)</f>
        <v>0</v>
      </c>
      <c r="DM30">
        <f>IFERROR(VLOOKUP(DM$6,Hoja1!$F$2:$XFD$61,BE30+4,FALSE),0)</f>
        <v>0</v>
      </c>
      <c r="DN30">
        <f>IFERROR(VLOOKUP(DN$6,Hoja1!$F$2:$XFD$61,BF30+4,FALSE),0)</f>
        <v>0</v>
      </c>
      <c r="DO30">
        <f>IFERROR(VLOOKUP(DO$6,Hoja1!$F$2:$XFD$61,BG30+4,FALSE),0)</f>
        <v>0</v>
      </c>
      <c r="DP30">
        <f>IFERROR(VLOOKUP(DP$6,Hoja1!$F$2:$XFD$61,BH30+4,FALSE),0)</f>
        <v>0</v>
      </c>
      <c r="DQ30">
        <f>IFERROR(VLOOKUP(DQ$6,Hoja1!$F$2:$XFD$61,BI30+4,FALSE),0)</f>
        <v>0</v>
      </c>
      <c r="DR30">
        <f>IFERROR(VLOOKUP(DR$6,Hoja1!$F$2:$XFD$61,BJ30+4,FALSE),0)</f>
        <v>0</v>
      </c>
      <c r="DS30">
        <f>IFERROR(VLOOKUP(DS$6,Hoja1!$F$2:$XFD$61,BK30+4,FALSE),0)</f>
        <v>0</v>
      </c>
      <c r="DT30">
        <f>IFERROR(VLOOKUP(DT$6,Hoja1!$F$2:$XFD$61,BL30+4,FALSE),0)</f>
        <v>0</v>
      </c>
      <c r="DU30" s="15" t="str">
        <f t="shared" si="0"/>
        <v/>
      </c>
      <c r="DV30" s="16" t="str">
        <f>IF(D30&lt;&gt;"",IF(DU30="","",IF(DU30&gt;=$DU$7*Hoja1!$E$2,4+3/($DU$7*(1-Hoja1!$E$2))*(DU30-$DU$7*Hoja1!$E$2),1+3/($DU$7*Hoja1!$E$2)*DU30)),DU30)</f>
        <v/>
      </c>
      <c r="DW30" s="47" t="b">
        <v>0</v>
      </c>
    </row>
    <row r="31" spans="1:127" ht="23.25" customHeight="1" x14ac:dyDescent="0.25">
      <c r="A31" s="17">
        <v>22</v>
      </c>
      <c r="B31" s="18"/>
      <c r="C31" s="18"/>
      <c r="D31" s="1"/>
      <c r="E31" s="28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29"/>
      <c r="BM31">
        <f>IFERROR(VLOOKUP(BM$6,Hoja1!$F$2:$XFD$61,E31+4,FALSE),0)</f>
        <v>0</v>
      </c>
      <c r="BN31">
        <f>IFERROR(VLOOKUP(BN$6,Hoja1!$F$2:$XFD$61,F31+4,FALSE),0)</f>
        <v>0</v>
      </c>
      <c r="BO31">
        <f>IFERROR(VLOOKUP(BO$6,Hoja1!$F$2:$XFD$61,G31+4,FALSE),0)</f>
        <v>0</v>
      </c>
      <c r="BP31">
        <f>IFERROR(VLOOKUP(BP$6,Hoja1!$F$2:$XFD$61,H31+4,FALSE),0)</f>
        <v>0</v>
      </c>
      <c r="BQ31">
        <f>IFERROR(VLOOKUP(BQ$6,Hoja1!$F$2:$XFD$61,I31+4,FALSE),0)</f>
        <v>0</v>
      </c>
      <c r="BR31">
        <f>IFERROR(VLOOKUP(BR$6,Hoja1!$F$2:$XFD$61,J31+4,FALSE),0)</f>
        <v>0</v>
      </c>
      <c r="BS31">
        <f>IFERROR(VLOOKUP(BS$6,Hoja1!$F$2:$XFD$61,K31+4,FALSE),0)</f>
        <v>0</v>
      </c>
      <c r="BT31">
        <f>IFERROR(VLOOKUP(BT$6,Hoja1!$F$2:$XFD$61,L31+4,FALSE),0)</f>
        <v>0</v>
      </c>
      <c r="BU31">
        <f>IFERROR(VLOOKUP(BU$6,Hoja1!$F$2:$XFD$61,M31+4,FALSE),0)</f>
        <v>0</v>
      </c>
      <c r="BV31">
        <f>IFERROR(VLOOKUP(BV$6,Hoja1!$F$2:$XFD$61,N31+4,FALSE),0)</f>
        <v>0</v>
      </c>
      <c r="BW31">
        <f>IFERROR(VLOOKUP(BW$6,Hoja1!$F$2:$XFD$61,O31+4,FALSE),0)</f>
        <v>0</v>
      </c>
      <c r="BX31">
        <f>IFERROR(VLOOKUP(BX$6,Hoja1!$F$2:$XFD$61,P31+4,FALSE),0)</f>
        <v>0</v>
      </c>
      <c r="BY31">
        <f>IFERROR(VLOOKUP(BY$6,Hoja1!$F$2:$XFD$61,Q31+4,FALSE),0)</f>
        <v>0</v>
      </c>
      <c r="BZ31">
        <f>IFERROR(VLOOKUP(BZ$6,Hoja1!$F$2:$XFD$61,R31+4,FALSE),0)</f>
        <v>0</v>
      </c>
      <c r="CA31">
        <f>IFERROR(VLOOKUP(CA$6,Hoja1!$F$2:$XFD$61,S31+4,FALSE),0)</f>
        <v>0</v>
      </c>
      <c r="CB31">
        <f>IFERROR(VLOOKUP(CB$6,Hoja1!$F$2:$XFD$61,T31+4,FALSE),0)</f>
        <v>0</v>
      </c>
      <c r="CC31">
        <f>IFERROR(VLOOKUP(CC$6,Hoja1!$F$2:$XFD$61,U31+4,FALSE),0)</f>
        <v>0</v>
      </c>
      <c r="CD31">
        <f>IFERROR(VLOOKUP(CD$6,Hoja1!$F$2:$XFD$61,V31+4,FALSE),0)</f>
        <v>0</v>
      </c>
      <c r="CE31">
        <f>IFERROR(VLOOKUP(CE$6,Hoja1!$F$2:$XFD$61,W31+4,FALSE),0)</f>
        <v>0</v>
      </c>
      <c r="CF31">
        <f>IFERROR(VLOOKUP(CF$6,Hoja1!$F$2:$XFD$61,X31+4,FALSE),0)</f>
        <v>0</v>
      </c>
      <c r="CG31">
        <f>IFERROR(VLOOKUP(CG$6,Hoja1!$F$2:$XFD$61,Y31+4,FALSE),0)</f>
        <v>0</v>
      </c>
      <c r="CH31">
        <f>IFERROR(VLOOKUP(CH$6,Hoja1!$F$2:$XFD$61,Z31+4,FALSE),0)</f>
        <v>0</v>
      </c>
      <c r="CI31">
        <f>IFERROR(VLOOKUP(CI$6,Hoja1!$F$2:$XFD$61,AA31+4,FALSE),0)</f>
        <v>0</v>
      </c>
      <c r="CJ31">
        <f>IFERROR(VLOOKUP(CJ$6,Hoja1!$F$2:$XFD$61,AB31+4,FALSE),0)</f>
        <v>0</v>
      </c>
      <c r="CK31">
        <f>IFERROR(VLOOKUP(CK$6,Hoja1!$F$2:$XFD$61,AC31+4,FALSE),0)</f>
        <v>0</v>
      </c>
      <c r="CL31">
        <f>IFERROR(VLOOKUP(CL$6,Hoja1!$F$2:$XFD$61,AD31+4,FALSE),0)</f>
        <v>0</v>
      </c>
      <c r="CM31">
        <f>IFERROR(VLOOKUP(CM$6,Hoja1!$F$2:$XFD$61,AE31+4,FALSE),0)</f>
        <v>0</v>
      </c>
      <c r="CN31">
        <f>IFERROR(VLOOKUP(CN$6,Hoja1!$F$2:$XFD$61,AF31+4,FALSE),0)</f>
        <v>0</v>
      </c>
      <c r="CO31">
        <f>IFERROR(VLOOKUP(CO$6,Hoja1!$F$2:$XFD$61,AG31+4,FALSE),0)</f>
        <v>0</v>
      </c>
      <c r="CP31">
        <f>IFERROR(VLOOKUP(CP$6,Hoja1!$F$2:$XFD$61,AH31+4,FALSE),0)</f>
        <v>0</v>
      </c>
      <c r="CQ31">
        <f>IFERROR(VLOOKUP(CQ$6,Hoja1!$F$2:$XFD$61,AI31+4,FALSE),0)</f>
        <v>0</v>
      </c>
      <c r="CR31">
        <f>IFERROR(VLOOKUP(CR$6,Hoja1!$F$2:$XFD$61,AJ31+4,FALSE),0)</f>
        <v>0</v>
      </c>
      <c r="CS31">
        <f>IFERROR(VLOOKUP(CS$6,Hoja1!$F$2:$XFD$61,AK31+4,FALSE),0)</f>
        <v>0</v>
      </c>
      <c r="CT31">
        <f>IFERROR(VLOOKUP(CT$6,Hoja1!$F$2:$XFD$61,AL31+4,FALSE),0)</f>
        <v>0</v>
      </c>
      <c r="CU31">
        <f>IFERROR(VLOOKUP(CU$6,Hoja1!$F$2:$XFD$61,AM31+4,FALSE),0)</f>
        <v>0</v>
      </c>
      <c r="CV31">
        <f>IFERROR(VLOOKUP(CV$6,Hoja1!$F$2:$XFD$61,AN31+4,FALSE),0)</f>
        <v>0</v>
      </c>
      <c r="CW31">
        <f>IFERROR(VLOOKUP(CW$6,Hoja1!$F$2:$XFD$61,AO31+4,FALSE),0)</f>
        <v>0</v>
      </c>
      <c r="CX31">
        <f>IFERROR(VLOOKUP(CX$6,Hoja1!$F$2:$XFD$61,AP31+4,FALSE),0)</f>
        <v>0</v>
      </c>
      <c r="CY31">
        <f>IFERROR(VLOOKUP(CY$6,Hoja1!$F$2:$XFD$61,AQ31+4,FALSE),0)</f>
        <v>0</v>
      </c>
      <c r="CZ31">
        <f>IFERROR(VLOOKUP(CZ$6,Hoja1!$F$2:$XFD$61,AR31+4,FALSE),0)</f>
        <v>0</v>
      </c>
      <c r="DA31">
        <f>IFERROR(VLOOKUP(DA$6,Hoja1!$F$2:$XFD$61,AS31+4,FALSE),0)</f>
        <v>0</v>
      </c>
      <c r="DB31">
        <f>IFERROR(VLOOKUP(DB$6,Hoja1!$F$2:$XFD$61,AT31+4,FALSE),0)</f>
        <v>0</v>
      </c>
      <c r="DC31">
        <f>IFERROR(VLOOKUP(DC$6,Hoja1!$F$2:$XFD$61,AU31+4,FALSE),0)</f>
        <v>0</v>
      </c>
      <c r="DD31">
        <f>IFERROR(VLOOKUP(DD$6,Hoja1!$F$2:$XFD$61,AV31+4,FALSE),0)</f>
        <v>0</v>
      </c>
      <c r="DE31">
        <f>IFERROR(VLOOKUP(DE$6,Hoja1!$F$2:$XFD$61,AW31+4,FALSE),0)</f>
        <v>0</v>
      </c>
      <c r="DF31">
        <f>IFERROR(VLOOKUP(DF$6,Hoja1!$F$2:$XFD$61,AX31+4,FALSE),0)</f>
        <v>0</v>
      </c>
      <c r="DG31">
        <f>IFERROR(VLOOKUP(DG$6,Hoja1!$F$2:$XFD$61,AY31+4,FALSE),0)</f>
        <v>0</v>
      </c>
      <c r="DH31">
        <f>IFERROR(VLOOKUP(DH$6,Hoja1!$F$2:$XFD$61,AZ31+4,FALSE),0)</f>
        <v>0</v>
      </c>
      <c r="DI31">
        <f>IFERROR(VLOOKUP(DI$6,Hoja1!$F$2:$XFD$61,BA31+4,FALSE),0)</f>
        <v>0</v>
      </c>
      <c r="DJ31">
        <f>IFERROR(VLOOKUP(DJ$6,Hoja1!$F$2:$XFD$61,BB31+4,FALSE),0)</f>
        <v>0</v>
      </c>
      <c r="DK31">
        <f>IFERROR(VLOOKUP(DK$6,Hoja1!$F$2:$XFD$61,BC31+4,FALSE),0)</f>
        <v>0</v>
      </c>
      <c r="DL31">
        <f>IFERROR(VLOOKUP(DL$6,Hoja1!$F$2:$XFD$61,BD31+4,FALSE),0)</f>
        <v>0</v>
      </c>
      <c r="DM31">
        <f>IFERROR(VLOOKUP(DM$6,Hoja1!$F$2:$XFD$61,BE31+4,FALSE),0)</f>
        <v>0</v>
      </c>
      <c r="DN31">
        <f>IFERROR(VLOOKUP(DN$6,Hoja1!$F$2:$XFD$61,BF31+4,FALSE),0)</f>
        <v>0</v>
      </c>
      <c r="DO31">
        <f>IFERROR(VLOOKUP(DO$6,Hoja1!$F$2:$XFD$61,BG31+4,FALSE),0)</f>
        <v>0</v>
      </c>
      <c r="DP31">
        <f>IFERROR(VLOOKUP(DP$6,Hoja1!$F$2:$XFD$61,BH31+4,FALSE),0)</f>
        <v>0</v>
      </c>
      <c r="DQ31">
        <f>IFERROR(VLOOKUP(DQ$6,Hoja1!$F$2:$XFD$61,BI31+4,FALSE),0)</f>
        <v>0</v>
      </c>
      <c r="DR31">
        <f>IFERROR(VLOOKUP(DR$6,Hoja1!$F$2:$XFD$61,BJ31+4,FALSE),0)</f>
        <v>0</v>
      </c>
      <c r="DS31">
        <f>IFERROR(VLOOKUP(DS$6,Hoja1!$F$2:$XFD$61,BK31+4,FALSE),0)</f>
        <v>0</v>
      </c>
      <c r="DT31">
        <f>IFERROR(VLOOKUP(DT$6,Hoja1!$F$2:$XFD$61,BL31+4,FALSE),0)</f>
        <v>0</v>
      </c>
      <c r="DU31" s="15" t="str">
        <f t="shared" si="0"/>
        <v/>
      </c>
      <c r="DV31" s="16" t="str">
        <f>IF(D31&lt;&gt;"",IF(DU31="","",IF(DU31&gt;=$DU$7*Hoja1!$E$2,4+3/($DU$7*(1-Hoja1!$E$2))*(DU31-$DU$7*Hoja1!$E$2),1+3/($DU$7*Hoja1!$E$2)*DU31)),DU31)</f>
        <v/>
      </c>
      <c r="DW31" s="47" t="b">
        <v>0</v>
      </c>
    </row>
    <row r="32" spans="1:127" ht="23.25" customHeight="1" x14ac:dyDescent="0.25">
      <c r="A32" s="17">
        <v>23</v>
      </c>
      <c r="B32" s="18"/>
      <c r="C32" s="18"/>
      <c r="D32" s="1"/>
      <c r="E32" s="28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29"/>
      <c r="BM32">
        <f>IFERROR(VLOOKUP(BM$6,Hoja1!$F$2:$XFD$61,E32+4,FALSE),0)</f>
        <v>0</v>
      </c>
      <c r="BN32">
        <f>IFERROR(VLOOKUP(BN$6,Hoja1!$F$2:$XFD$61,F32+4,FALSE),0)</f>
        <v>0</v>
      </c>
      <c r="BO32">
        <f>IFERROR(VLOOKUP(BO$6,Hoja1!$F$2:$XFD$61,G32+4,FALSE),0)</f>
        <v>0</v>
      </c>
      <c r="BP32">
        <f>IFERROR(VLOOKUP(BP$6,Hoja1!$F$2:$XFD$61,H32+4,FALSE),0)</f>
        <v>0</v>
      </c>
      <c r="BQ32">
        <f>IFERROR(VLOOKUP(BQ$6,Hoja1!$F$2:$XFD$61,I32+4,FALSE),0)</f>
        <v>0</v>
      </c>
      <c r="BR32">
        <f>IFERROR(VLOOKUP(BR$6,Hoja1!$F$2:$XFD$61,J32+4,FALSE),0)</f>
        <v>0</v>
      </c>
      <c r="BS32">
        <f>IFERROR(VLOOKUP(BS$6,Hoja1!$F$2:$XFD$61,K32+4,FALSE),0)</f>
        <v>0</v>
      </c>
      <c r="BT32">
        <f>IFERROR(VLOOKUP(BT$6,Hoja1!$F$2:$XFD$61,L32+4,FALSE),0)</f>
        <v>0</v>
      </c>
      <c r="BU32">
        <f>IFERROR(VLOOKUP(BU$6,Hoja1!$F$2:$XFD$61,M32+4,FALSE),0)</f>
        <v>0</v>
      </c>
      <c r="BV32">
        <f>IFERROR(VLOOKUP(BV$6,Hoja1!$F$2:$XFD$61,N32+4,FALSE),0)</f>
        <v>0</v>
      </c>
      <c r="BW32">
        <f>IFERROR(VLOOKUP(BW$6,Hoja1!$F$2:$XFD$61,O32+4,FALSE),0)</f>
        <v>0</v>
      </c>
      <c r="BX32">
        <f>IFERROR(VLOOKUP(BX$6,Hoja1!$F$2:$XFD$61,P32+4,FALSE),0)</f>
        <v>0</v>
      </c>
      <c r="BY32">
        <f>IFERROR(VLOOKUP(BY$6,Hoja1!$F$2:$XFD$61,Q32+4,FALSE),0)</f>
        <v>0</v>
      </c>
      <c r="BZ32">
        <f>IFERROR(VLOOKUP(BZ$6,Hoja1!$F$2:$XFD$61,R32+4,FALSE),0)</f>
        <v>0</v>
      </c>
      <c r="CA32">
        <f>IFERROR(VLOOKUP(CA$6,Hoja1!$F$2:$XFD$61,S32+4,FALSE),0)</f>
        <v>0</v>
      </c>
      <c r="CB32">
        <f>IFERROR(VLOOKUP(CB$6,Hoja1!$F$2:$XFD$61,T32+4,FALSE),0)</f>
        <v>0</v>
      </c>
      <c r="CC32">
        <f>IFERROR(VLOOKUP(CC$6,Hoja1!$F$2:$XFD$61,U32+4,FALSE),0)</f>
        <v>0</v>
      </c>
      <c r="CD32">
        <f>IFERROR(VLOOKUP(CD$6,Hoja1!$F$2:$XFD$61,V32+4,FALSE),0)</f>
        <v>0</v>
      </c>
      <c r="CE32">
        <f>IFERROR(VLOOKUP(CE$6,Hoja1!$F$2:$XFD$61,W32+4,FALSE),0)</f>
        <v>0</v>
      </c>
      <c r="CF32">
        <f>IFERROR(VLOOKUP(CF$6,Hoja1!$F$2:$XFD$61,X32+4,FALSE),0)</f>
        <v>0</v>
      </c>
      <c r="CG32">
        <f>IFERROR(VLOOKUP(CG$6,Hoja1!$F$2:$XFD$61,Y32+4,FALSE),0)</f>
        <v>0</v>
      </c>
      <c r="CH32">
        <f>IFERROR(VLOOKUP(CH$6,Hoja1!$F$2:$XFD$61,Z32+4,FALSE),0)</f>
        <v>0</v>
      </c>
      <c r="CI32">
        <f>IFERROR(VLOOKUP(CI$6,Hoja1!$F$2:$XFD$61,AA32+4,FALSE),0)</f>
        <v>0</v>
      </c>
      <c r="CJ32">
        <f>IFERROR(VLOOKUP(CJ$6,Hoja1!$F$2:$XFD$61,AB32+4,FALSE),0)</f>
        <v>0</v>
      </c>
      <c r="CK32">
        <f>IFERROR(VLOOKUP(CK$6,Hoja1!$F$2:$XFD$61,AC32+4,FALSE),0)</f>
        <v>0</v>
      </c>
      <c r="CL32">
        <f>IFERROR(VLOOKUP(CL$6,Hoja1!$F$2:$XFD$61,AD32+4,FALSE),0)</f>
        <v>0</v>
      </c>
      <c r="CM32">
        <f>IFERROR(VLOOKUP(CM$6,Hoja1!$F$2:$XFD$61,AE32+4,FALSE),0)</f>
        <v>0</v>
      </c>
      <c r="CN32">
        <f>IFERROR(VLOOKUP(CN$6,Hoja1!$F$2:$XFD$61,AF32+4,FALSE),0)</f>
        <v>0</v>
      </c>
      <c r="CO32">
        <f>IFERROR(VLOOKUP(CO$6,Hoja1!$F$2:$XFD$61,AG32+4,FALSE),0)</f>
        <v>0</v>
      </c>
      <c r="CP32">
        <f>IFERROR(VLOOKUP(CP$6,Hoja1!$F$2:$XFD$61,AH32+4,FALSE),0)</f>
        <v>0</v>
      </c>
      <c r="CQ32">
        <f>IFERROR(VLOOKUP(CQ$6,Hoja1!$F$2:$XFD$61,AI32+4,FALSE),0)</f>
        <v>0</v>
      </c>
      <c r="CR32">
        <f>IFERROR(VLOOKUP(CR$6,Hoja1!$F$2:$XFD$61,AJ32+4,FALSE),0)</f>
        <v>0</v>
      </c>
      <c r="CS32">
        <f>IFERROR(VLOOKUP(CS$6,Hoja1!$F$2:$XFD$61,AK32+4,FALSE),0)</f>
        <v>0</v>
      </c>
      <c r="CT32">
        <f>IFERROR(VLOOKUP(CT$6,Hoja1!$F$2:$XFD$61,AL32+4,FALSE),0)</f>
        <v>0</v>
      </c>
      <c r="CU32">
        <f>IFERROR(VLOOKUP(CU$6,Hoja1!$F$2:$XFD$61,AM32+4,FALSE),0)</f>
        <v>0</v>
      </c>
      <c r="CV32">
        <f>IFERROR(VLOOKUP(CV$6,Hoja1!$F$2:$XFD$61,AN32+4,FALSE),0)</f>
        <v>0</v>
      </c>
      <c r="CW32">
        <f>IFERROR(VLOOKUP(CW$6,Hoja1!$F$2:$XFD$61,AO32+4,FALSE),0)</f>
        <v>0</v>
      </c>
      <c r="CX32">
        <f>IFERROR(VLOOKUP(CX$6,Hoja1!$F$2:$XFD$61,AP32+4,FALSE),0)</f>
        <v>0</v>
      </c>
      <c r="CY32">
        <f>IFERROR(VLOOKUP(CY$6,Hoja1!$F$2:$XFD$61,AQ32+4,FALSE),0)</f>
        <v>0</v>
      </c>
      <c r="CZ32">
        <f>IFERROR(VLOOKUP(CZ$6,Hoja1!$F$2:$XFD$61,AR32+4,FALSE),0)</f>
        <v>0</v>
      </c>
      <c r="DA32">
        <f>IFERROR(VLOOKUP(DA$6,Hoja1!$F$2:$XFD$61,AS32+4,FALSE),0)</f>
        <v>0</v>
      </c>
      <c r="DB32">
        <f>IFERROR(VLOOKUP(DB$6,Hoja1!$F$2:$XFD$61,AT32+4,FALSE),0)</f>
        <v>0</v>
      </c>
      <c r="DC32">
        <f>IFERROR(VLOOKUP(DC$6,Hoja1!$F$2:$XFD$61,AU32+4,FALSE),0)</f>
        <v>0</v>
      </c>
      <c r="DD32">
        <f>IFERROR(VLOOKUP(DD$6,Hoja1!$F$2:$XFD$61,AV32+4,FALSE),0)</f>
        <v>0</v>
      </c>
      <c r="DE32">
        <f>IFERROR(VLOOKUP(DE$6,Hoja1!$F$2:$XFD$61,AW32+4,FALSE),0)</f>
        <v>0</v>
      </c>
      <c r="DF32">
        <f>IFERROR(VLOOKUP(DF$6,Hoja1!$F$2:$XFD$61,AX32+4,FALSE),0)</f>
        <v>0</v>
      </c>
      <c r="DG32">
        <f>IFERROR(VLOOKUP(DG$6,Hoja1!$F$2:$XFD$61,AY32+4,FALSE),0)</f>
        <v>0</v>
      </c>
      <c r="DH32">
        <f>IFERROR(VLOOKUP(DH$6,Hoja1!$F$2:$XFD$61,AZ32+4,FALSE),0)</f>
        <v>0</v>
      </c>
      <c r="DI32">
        <f>IFERROR(VLOOKUP(DI$6,Hoja1!$F$2:$XFD$61,BA32+4,FALSE),0)</f>
        <v>0</v>
      </c>
      <c r="DJ32">
        <f>IFERROR(VLOOKUP(DJ$6,Hoja1!$F$2:$XFD$61,BB32+4,FALSE),0)</f>
        <v>0</v>
      </c>
      <c r="DK32">
        <f>IFERROR(VLOOKUP(DK$6,Hoja1!$F$2:$XFD$61,BC32+4,FALSE),0)</f>
        <v>0</v>
      </c>
      <c r="DL32">
        <f>IFERROR(VLOOKUP(DL$6,Hoja1!$F$2:$XFD$61,BD32+4,FALSE),0)</f>
        <v>0</v>
      </c>
      <c r="DM32">
        <f>IFERROR(VLOOKUP(DM$6,Hoja1!$F$2:$XFD$61,BE32+4,FALSE),0)</f>
        <v>0</v>
      </c>
      <c r="DN32">
        <f>IFERROR(VLOOKUP(DN$6,Hoja1!$F$2:$XFD$61,BF32+4,FALSE),0)</f>
        <v>0</v>
      </c>
      <c r="DO32">
        <f>IFERROR(VLOOKUP(DO$6,Hoja1!$F$2:$XFD$61,BG32+4,FALSE),0)</f>
        <v>0</v>
      </c>
      <c r="DP32">
        <f>IFERROR(VLOOKUP(DP$6,Hoja1!$F$2:$XFD$61,BH32+4,FALSE),0)</f>
        <v>0</v>
      </c>
      <c r="DQ32">
        <f>IFERROR(VLOOKUP(DQ$6,Hoja1!$F$2:$XFD$61,BI32+4,FALSE),0)</f>
        <v>0</v>
      </c>
      <c r="DR32">
        <f>IFERROR(VLOOKUP(DR$6,Hoja1!$F$2:$XFD$61,BJ32+4,FALSE),0)</f>
        <v>0</v>
      </c>
      <c r="DS32">
        <f>IFERROR(VLOOKUP(DS$6,Hoja1!$F$2:$XFD$61,BK32+4,FALSE),0)</f>
        <v>0</v>
      </c>
      <c r="DT32">
        <f>IFERROR(VLOOKUP(DT$6,Hoja1!$F$2:$XFD$61,BL32+4,FALSE),0)</f>
        <v>0</v>
      </c>
      <c r="DU32" s="15" t="str">
        <f t="shared" si="0"/>
        <v/>
      </c>
      <c r="DV32" s="16" t="str">
        <f>IF(D32&lt;&gt;"",IF(DU32="","",IF(DU32&gt;=$DU$7*Hoja1!$E$2,4+3/($DU$7*(1-Hoja1!$E$2))*(DU32-$DU$7*Hoja1!$E$2),1+3/($DU$7*Hoja1!$E$2)*DU32)),DU32)</f>
        <v/>
      </c>
      <c r="DW32" s="47" t="b">
        <v>0</v>
      </c>
    </row>
    <row r="33" spans="1:127" ht="23.25" customHeight="1" x14ac:dyDescent="0.25">
      <c r="A33" s="17">
        <v>24</v>
      </c>
      <c r="B33" s="18"/>
      <c r="C33" s="18"/>
      <c r="D33" s="1"/>
      <c r="E33" s="28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  <c r="BL33" s="29"/>
      <c r="BM33">
        <f>IFERROR(VLOOKUP(BM$6,Hoja1!$F$2:$XFD$61,E33+4,FALSE),0)</f>
        <v>0</v>
      </c>
      <c r="BN33">
        <f>IFERROR(VLOOKUP(BN$6,Hoja1!$F$2:$XFD$61,F33+4,FALSE),0)</f>
        <v>0</v>
      </c>
      <c r="BO33">
        <f>IFERROR(VLOOKUP(BO$6,Hoja1!$F$2:$XFD$61,G33+4,FALSE),0)</f>
        <v>0</v>
      </c>
      <c r="BP33">
        <f>IFERROR(VLOOKUP(BP$6,Hoja1!$F$2:$XFD$61,H33+4,FALSE),0)</f>
        <v>0</v>
      </c>
      <c r="BQ33">
        <f>IFERROR(VLOOKUP(BQ$6,Hoja1!$F$2:$XFD$61,I33+4,FALSE),0)</f>
        <v>0</v>
      </c>
      <c r="BR33">
        <f>IFERROR(VLOOKUP(BR$6,Hoja1!$F$2:$XFD$61,J33+4,FALSE),0)</f>
        <v>0</v>
      </c>
      <c r="BS33">
        <f>IFERROR(VLOOKUP(BS$6,Hoja1!$F$2:$XFD$61,K33+4,FALSE),0)</f>
        <v>0</v>
      </c>
      <c r="BT33">
        <f>IFERROR(VLOOKUP(BT$6,Hoja1!$F$2:$XFD$61,L33+4,FALSE),0)</f>
        <v>0</v>
      </c>
      <c r="BU33">
        <f>IFERROR(VLOOKUP(BU$6,Hoja1!$F$2:$XFD$61,M33+4,FALSE),0)</f>
        <v>0</v>
      </c>
      <c r="BV33">
        <f>IFERROR(VLOOKUP(BV$6,Hoja1!$F$2:$XFD$61,N33+4,FALSE),0)</f>
        <v>0</v>
      </c>
      <c r="BW33">
        <f>IFERROR(VLOOKUP(BW$6,Hoja1!$F$2:$XFD$61,O33+4,FALSE),0)</f>
        <v>0</v>
      </c>
      <c r="BX33">
        <f>IFERROR(VLOOKUP(BX$6,Hoja1!$F$2:$XFD$61,P33+4,FALSE),0)</f>
        <v>0</v>
      </c>
      <c r="BY33">
        <f>IFERROR(VLOOKUP(BY$6,Hoja1!$F$2:$XFD$61,Q33+4,FALSE),0)</f>
        <v>0</v>
      </c>
      <c r="BZ33">
        <f>IFERROR(VLOOKUP(BZ$6,Hoja1!$F$2:$XFD$61,R33+4,FALSE),0)</f>
        <v>0</v>
      </c>
      <c r="CA33">
        <f>IFERROR(VLOOKUP(CA$6,Hoja1!$F$2:$XFD$61,S33+4,FALSE),0)</f>
        <v>0</v>
      </c>
      <c r="CB33">
        <f>IFERROR(VLOOKUP(CB$6,Hoja1!$F$2:$XFD$61,T33+4,FALSE),0)</f>
        <v>0</v>
      </c>
      <c r="CC33">
        <f>IFERROR(VLOOKUP(CC$6,Hoja1!$F$2:$XFD$61,U33+4,FALSE),0)</f>
        <v>0</v>
      </c>
      <c r="CD33">
        <f>IFERROR(VLOOKUP(CD$6,Hoja1!$F$2:$XFD$61,V33+4,FALSE),0)</f>
        <v>0</v>
      </c>
      <c r="CE33">
        <f>IFERROR(VLOOKUP(CE$6,Hoja1!$F$2:$XFD$61,W33+4,FALSE),0)</f>
        <v>0</v>
      </c>
      <c r="CF33">
        <f>IFERROR(VLOOKUP(CF$6,Hoja1!$F$2:$XFD$61,X33+4,FALSE),0)</f>
        <v>0</v>
      </c>
      <c r="CG33">
        <f>IFERROR(VLOOKUP(CG$6,Hoja1!$F$2:$XFD$61,Y33+4,FALSE),0)</f>
        <v>0</v>
      </c>
      <c r="CH33">
        <f>IFERROR(VLOOKUP(CH$6,Hoja1!$F$2:$XFD$61,Z33+4,FALSE),0)</f>
        <v>0</v>
      </c>
      <c r="CI33">
        <f>IFERROR(VLOOKUP(CI$6,Hoja1!$F$2:$XFD$61,AA33+4,FALSE),0)</f>
        <v>0</v>
      </c>
      <c r="CJ33">
        <f>IFERROR(VLOOKUP(CJ$6,Hoja1!$F$2:$XFD$61,AB33+4,FALSE),0)</f>
        <v>0</v>
      </c>
      <c r="CK33">
        <f>IFERROR(VLOOKUP(CK$6,Hoja1!$F$2:$XFD$61,AC33+4,FALSE),0)</f>
        <v>0</v>
      </c>
      <c r="CL33">
        <f>IFERROR(VLOOKUP(CL$6,Hoja1!$F$2:$XFD$61,AD33+4,FALSE),0)</f>
        <v>0</v>
      </c>
      <c r="CM33">
        <f>IFERROR(VLOOKUP(CM$6,Hoja1!$F$2:$XFD$61,AE33+4,FALSE),0)</f>
        <v>0</v>
      </c>
      <c r="CN33">
        <f>IFERROR(VLOOKUP(CN$6,Hoja1!$F$2:$XFD$61,AF33+4,FALSE),0)</f>
        <v>0</v>
      </c>
      <c r="CO33">
        <f>IFERROR(VLOOKUP(CO$6,Hoja1!$F$2:$XFD$61,AG33+4,FALSE),0)</f>
        <v>0</v>
      </c>
      <c r="CP33">
        <f>IFERROR(VLOOKUP(CP$6,Hoja1!$F$2:$XFD$61,AH33+4,FALSE),0)</f>
        <v>0</v>
      </c>
      <c r="CQ33">
        <f>IFERROR(VLOOKUP(CQ$6,Hoja1!$F$2:$XFD$61,AI33+4,FALSE),0)</f>
        <v>0</v>
      </c>
      <c r="CR33">
        <f>IFERROR(VLOOKUP(CR$6,Hoja1!$F$2:$XFD$61,AJ33+4,FALSE),0)</f>
        <v>0</v>
      </c>
      <c r="CS33">
        <f>IFERROR(VLOOKUP(CS$6,Hoja1!$F$2:$XFD$61,AK33+4,FALSE),0)</f>
        <v>0</v>
      </c>
      <c r="CT33">
        <f>IFERROR(VLOOKUP(CT$6,Hoja1!$F$2:$XFD$61,AL33+4,FALSE),0)</f>
        <v>0</v>
      </c>
      <c r="CU33">
        <f>IFERROR(VLOOKUP(CU$6,Hoja1!$F$2:$XFD$61,AM33+4,FALSE),0)</f>
        <v>0</v>
      </c>
      <c r="CV33">
        <f>IFERROR(VLOOKUP(CV$6,Hoja1!$F$2:$XFD$61,AN33+4,FALSE),0)</f>
        <v>0</v>
      </c>
      <c r="CW33">
        <f>IFERROR(VLOOKUP(CW$6,Hoja1!$F$2:$XFD$61,AO33+4,FALSE),0)</f>
        <v>0</v>
      </c>
      <c r="CX33">
        <f>IFERROR(VLOOKUP(CX$6,Hoja1!$F$2:$XFD$61,AP33+4,FALSE),0)</f>
        <v>0</v>
      </c>
      <c r="CY33">
        <f>IFERROR(VLOOKUP(CY$6,Hoja1!$F$2:$XFD$61,AQ33+4,FALSE),0)</f>
        <v>0</v>
      </c>
      <c r="CZ33">
        <f>IFERROR(VLOOKUP(CZ$6,Hoja1!$F$2:$XFD$61,AR33+4,FALSE),0)</f>
        <v>0</v>
      </c>
      <c r="DA33">
        <f>IFERROR(VLOOKUP(DA$6,Hoja1!$F$2:$XFD$61,AS33+4,FALSE),0)</f>
        <v>0</v>
      </c>
      <c r="DB33">
        <f>IFERROR(VLOOKUP(DB$6,Hoja1!$F$2:$XFD$61,AT33+4,FALSE),0)</f>
        <v>0</v>
      </c>
      <c r="DC33">
        <f>IFERROR(VLOOKUP(DC$6,Hoja1!$F$2:$XFD$61,AU33+4,FALSE),0)</f>
        <v>0</v>
      </c>
      <c r="DD33">
        <f>IFERROR(VLOOKUP(DD$6,Hoja1!$F$2:$XFD$61,AV33+4,FALSE),0)</f>
        <v>0</v>
      </c>
      <c r="DE33">
        <f>IFERROR(VLOOKUP(DE$6,Hoja1!$F$2:$XFD$61,AW33+4,FALSE),0)</f>
        <v>0</v>
      </c>
      <c r="DF33">
        <f>IFERROR(VLOOKUP(DF$6,Hoja1!$F$2:$XFD$61,AX33+4,FALSE),0)</f>
        <v>0</v>
      </c>
      <c r="DG33">
        <f>IFERROR(VLOOKUP(DG$6,Hoja1!$F$2:$XFD$61,AY33+4,FALSE),0)</f>
        <v>0</v>
      </c>
      <c r="DH33">
        <f>IFERROR(VLOOKUP(DH$6,Hoja1!$F$2:$XFD$61,AZ33+4,FALSE),0)</f>
        <v>0</v>
      </c>
      <c r="DI33">
        <f>IFERROR(VLOOKUP(DI$6,Hoja1!$F$2:$XFD$61,BA33+4,FALSE),0)</f>
        <v>0</v>
      </c>
      <c r="DJ33">
        <f>IFERROR(VLOOKUP(DJ$6,Hoja1!$F$2:$XFD$61,BB33+4,FALSE),0)</f>
        <v>0</v>
      </c>
      <c r="DK33">
        <f>IFERROR(VLOOKUP(DK$6,Hoja1!$F$2:$XFD$61,BC33+4,FALSE),0)</f>
        <v>0</v>
      </c>
      <c r="DL33">
        <f>IFERROR(VLOOKUP(DL$6,Hoja1!$F$2:$XFD$61,BD33+4,FALSE),0)</f>
        <v>0</v>
      </c>
      <c r="DM33">
        <f>IFERROR(VLOOKUP(DM$6,Hoja1!$F$2:$XFD$61,BE33+4,FALSE),0)</f>
        <v>0</v>
      </c>
      <c r="DN33">
        <f>IFERROR(VLOOKUP(DN$6,Hoja1!$F$2:$XFD$61,BF33+4,FALSE),0)</f>
        <v>0</v>
      </c>
      <c r="DO33">
        <f>IFERROR(VLOOKUP(DO$6,Hoja1!$F$2:$XFD$61,BG33+4,FALSE),0)</f>
        <v>0</v>
      </c>
      <c r="DP33">
        <f>IFERROR(VLOOKUP(DP$6,Hoja1!$F$2:$XFD$61,BH33+4,FALSE),0)</f>
        <v>0</v>
      </c>
      <c r="DQ33">
        <f>IFERROR(VLOOKUP(DQ$6,Hoja1!$F$2:$XFD$61,BI33+4,FALSE),0)</f>
        <v>0</v>
      </c>
      <c r="DR33">
        <f>IFERROR(VLOOKUP(DR$6,Hoja1!$F$2:$XFD$61,BJ33+4,FALSE),0)</f>
        <v>0</v>
      </c>
      <c r="DS33">
        <f>IFERROR(VLOOKUP(DS$6,Hoja1!$F$2:$XFD$61,BK33+4,FALSE),0)</f>
        <v>0</v>
      </c>
      <c r="DT33">
        <f>IFERROR(VLOOKUP(DT$6,Hoja1!$F$2:$XFD$61,BL33+4,FALSE),0)</f>
        <v>0</v>
      </c>
      <c r="DU33" s="15" t="str">
        <f t="shared" si="0"/>
        <v/>
      </c>
      <c r="DV33" s="16" t="str">
        <f>IF(D33&lt;&gt;"",IF(DU33="","",IF(DU33&gt;=$DU$7*Hoja1!$E$2,4+3/($DU$7*(1-Hoja1!$E$2))*(DU33-$DU$7*Hoja1!$E$2),1+3/($DU$7*Hoja1!$E$2)*DU33)),DU33)</f>
        <v/>
      </c>
      <c r="DW33" s="47" t="b">
        <v>0</v>
      </c>
    </row>
    <row r="34" spans="1:127" ht="23.25" customHeight="1" x14ac:dyDescent="0.25">
      <c r="A34" s="17">
        <v>25</v>
      </c>
      <c r="B34" s="18"/>
      <c r="C34" s="18"/>
      <c r="D34" s="1"/>
      <c r="E34" s="28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29"/>
      <c r="BM34">
        <f>IFERROR(VLOOKUP(BM$6,Hoja1!$F$2:$XFD$61,E34+4,FALSE),0)</f>
        <v>0</v>
      </c>
      <c r="BN34">
        <f>IFERROR(VLOOKUP(BN$6,Hoja1!$F$2:$XFD$61,F34+4,FALSE),0)</f>
        <v>0</v>
      </c>
      <c r="BO34">
        <f>IFERROR(VLOOKUP(BO$6,Hoja1!$F$2:$XFD$61,G34+4,FALSE),0)</f>
        <v>0</v>
      </c>
      <c r="BP34">
        <f>IFERROR(VLOOKUP(BP$6,Hoja1!$F$2:$XFD$61,H34+4,FALSE),0)</f>
        <v>0</v>
      </c>
      <c r="BQ34">
        <f>IFERROR(VLOOKUP(BQ$6,Hoja1!$F$2:$XFD$61,I34+4,FALSE),0)</f>
        <v>0</v>
      </c>
      <c r="BR34">
        <f>IFERROR(VLOOKUP(BR$6,Hoja1!$F$2:$XFD$61,J34+4,FALSE),0)</f>
        <v>0</v>
      </c>
      <c r="BS34">
        <f>IFERROR(VLOOKUP(BS$6,Hoja1!$F$2:$XFD$61,K34+4,FALSE),0)</f>
        <v>0</v>
      </c>
      <c r="BT34">
        <f>IFERROR(VLOOKUP(BT$6,Hoja1!$F$2:$XFD$61,L34+4,FALSE),0)</f>
        <v>0</v>
      </c>
      <c r="BU34">
        <f>IFERROR(VLOOKUP(BU$6,Hoja1!$F$2:$XFD$61,M34+4,FALSE),0)</f>
        <v>0</v>
      </c>
      <c r="BV34">
        <f>IFERROR(VLOOKUP(BV$6,Hoja1!$F$2:$XFD$61,N34+4,FALSE),0)</f>
        <v>0</v>
      </c>
      <c r="BW34">
        <f>IFERROR(VLOOKUP(BW$6,Hoja1!$F$2:$XFD$61,O34+4,FALSE),0)</f>
        <v>0</v>
      </c>
      <c r="BX34">
        <f>IFERROR(VLOOKUP(BX$6,Hoja1!$F$2:$XFD$61,P34+4,FALSE),0)</f>
        <v>0</v>
      </c>
      <c r="BY34">
        <f>IFERROR(VLOOKUP(BY$6,Hoja1!$F$2:$XFD$61,Q34+4,FALSE),0)</f>
        <v>0</v>
      </c>
      <c r="BZ34">
        <f>IFERROR(VLOOKUP(BZ$6,Hoja1!$F$2:$XFD$61,R34+4,FALSE),0)</f>
        <v>0</v>
      </c>
      <c r="CA34">
        <f>IFERROR(VLOOKUP(CA$6,Hoja1!$F$2:$XFD$61,S34+4,FALSE),0)</f>
        <v>0</v>
      </c>
      <c r="CB34">
        <f>IFERROR(VLOOKUP(CB$6,Hoja1!$F$2:$XFD$61,T34+4,FALSE),0)</f>
        <v>0</v>
      </c>
      <c r="CC34">
        <f>IFERROR(VLOOKUP(CC$6,Hoja1!$F$2:$XFD$61,U34+4,FALSE),0)</f>
        <v>0</v>
      </c>
      <c r="CD34">
        <f>IFERROR(VLOOKUP(CD$6,Hoja1!$F$2:$XFD$61,V34+4,FALSE),0)</f>
        <v>0</v>
      </c>
      <c r="CE34">
        <f>IFERROR(VLOOKUP(CE$6,Hoja1!$F$2:$XFD$61,W34+4,FALSE),0)</f>
        <v>0</v>
      </c>
      <c r="CF34">
        <f>IFERROR(VLOOKUP(CF$6,Hoja1!$F$2:$XFD$61,X34+4,FALSE),0)</f>
        <v>0</v>
      </c>
      <c r="CG34">
        <f>IFERROR(VLOOKUP(CG$6,Hoja1!$F$2:$XFD$61,Y34+4,FALSE),0)</f>
        <v>0</v>
      </c>
      <c r="CH34">
        <f>IFERROR(VLOOKUP(CH$6,Hoja1!$F$2:$XFD$61,Z34+4,FALSE),0)</f>
        <v>0</v>
      </c>
      <c r="CI34">
        <f>IFERROR(VLOOKUP(CI$6,Hoja1!$F$2:$XFD$61,AA34+4,FALSE),0)</f>
        <v>0</v>
      </c>
      <c r="CJ34">
        <f>IFERROR(VLOOKUP(CJ$6,Hoja1!$F$2:$XFD$61,AB34+4,FALSE),0)</f>
        <v>0</v>
      </c>
      <c r="CK34">
        <f>IFERROR(VLOOKUP(CK$6,Hoja1!$F$2:$XFD$61,AC34+4,FALSE),0)</f>
        <v>0</v>
      </c>
      <c r="CL34">
        <f>IFERROR(VLOOKUP(CL$6,Hoja1!$F$2:$XFD$61,AD34+4,FALSE),0)</f>
        <v>0</v>
      </c>
      <c r="CM34">
        <f>IFERROR(VLOOKUP(CM$6,Hoja1!$F$2:$XFD$61,AE34+4,FALSE),0)</f>
        <v>0</v>
      </c>
      <c r="CN34">
        <f>IFERROR(VLOOKUP(CN$6,Hoja1!$F$2:$XFD$61,AF34+4,FALSE),0)</f>
        <v>0</v>
      </c>
      <c r="CO34">
        <f>IFERROR(VLOOKUP(CO$6,Hoja1!$F$2:$XFD$61,AG34+4,FALSE),0)</f>
        <v>0</v>
      </c>
      <c r="CP34">
        <f>IFERROR(VLOOKUP(CP$6,Hoja1!$F$2:$XFD$61,AH34+4,FALSE),0)</f>
        <v>0</v>
      </c>
      <c r="CQ34">
        <f>IFERROR(VLOOKUP(CQ$6,Hoja1!$F$2:$XFD$61,AI34+4,FALSE),0)</f>
        <v>0</v>
      </c>
      <c r="CR34">
        <f>IFERROR(VLOOKUP(CR$6,Hoja1!$F$2:$XFD$61,AJ34+4,FALSE),0)</f>
        <v>0</v>
      </c>
      <c r="CS34">
        <f>IFERROR(VLOOKUP(CS$6,Hoja1!$F$2:$XFD$61,AK34+4,FALSE),0)</f>
        <v>0</v>
      </c>
      <c r="CT34">
        <f>IFERROR(VLOOKUP(CT$6,Hoja1!$F$2:$XFD$61,AL34+4,FALSE),0)</f>
        <v>0</v>
      </c>
      <c r="CU34">
        <f>IFERROR(VLOOKUP(CU$6,Hoja1!$F$2:$XFD$61,AM34+4,FALSE),0)</f>
        <v>0</v>
      </c>
      <c r="CV34">
        <f>IFERROR(VLOOKUP(CV$6,Hoja1!$F$2:$XFD$61,AN34+4,FALSE),0)</f>
        <v>0</v>
      </c>
      <c r="CW34">
        <f>IFERROR(VLOOKUP(CW$6,Hoja1!$F$2:$XFD$61,AO34+4,FALSE),0)</f>
        <v>0</v>
      </c>
      <c r="CX34">
        <f>IFERROR(VLOOKUP(CX$6,Hoja1!$F$2:$XFD$61,AP34+4,FALSE),0)</f>
        <v>0</v>
      </c>
      <c r="CY34">
        <f>IFERROR(VLOOKUP(CY$6,Hoja1!$F$2:$XFD$61,AQ34+4,FALSE),0)</f>
        <v>0</v>
      </c>
      <c r="CZ34">
        <f>IFERROR(VLOOKUP(CZ$6,Hoja1!$F$2:$XFD$61,AR34+4,FALSE),0)</f>
        <v>0</v>
      </c>
      <c r="DA34">
        <f>IFERROR(VLOOKUP(DA$6,Hoja1!$F$2:$XFD$61,AS34+4,FALSE),0)</f>
        <v>0</v>
      </c>
      <c r="DB34">
        <f>IFERROR(VLOOKUP(DB$6,Hoja1!$F$2:$XFD$61,AT34+4,FALSE),0)</f>
        <v>0</v>
      </c>
      <c r="DC34">
        <f>IFERROR(VLOOKUP(DC$6,Hoja1!$F$2:$XFD$61,AU34+4,FALSE),0)</f>
        <v>0</v>
      </c>
      <c r="DD34">
        <f>IFERROR(VLOOKUP(DD$6,Hoja1!$F$2:$XFD$61,AV34+4,FALSE),0)</f>
        <v>0</v>
      </c>
      <c r="DE34">
        <f>IFERROR(VLOOKUP(DE$6,Hoja1!$F$2:$XFD$61,AW34+4,FALSE),0)</f>
        <v>0</v>
      </c>
      <c r="DF34">
        <f>IFERROR(VLOOKUP(DF$6,Hoja1!$F$2:$XFD$61,AX34+4,FALSE),0)</f>
        <v>0</v>
      </c>
      <c r="DG34">
        <f>IFERROR(VLOOKUP(DG$6,Hoja1!$F$2:$XFD$61,AY34+4,FALSE),0)</f>
        <v>0</v>
      </c>
      <c r="DH34">
        <f>IFERROR(VLOOKUP(DH$6,Hoja1!$F$2:$XFD$61,AZ34+4,FALSE),0)</f>
        <v>0</v>
      </c>
      <c r="DI34">
        <f>IFERROR(VLOOKUP(DI$6,Hoja1!$F$2:$XFD$61,BA34+4,FALSE),0)</f>
        <v>0</v>
      </c>
      <c r="DJ34">
        <f>IFERROR(VLOOKUP(DJ$6,Hoja1!$F$2:$XFD$61,BB34+4,FALSE),0)</f>
        <v>0</v>
      </c>
      <c r="DK34">
        <f>IFERROR(VLOOKUP(DK$6,Hoja1!$F$2:$XFD$61,BC34+4,FALSE),0)</f>
        <v>0</v>
      </c>
      <c r="DL34">
        <f>IFERROR(VLOOKUP(DL$6,Hoja1!$F$2:$XFD$61,BD34+4,FALSE),0)</f>
        <v>0</v>
      </c>
      <c r="DM34">
        <f>IFERROR(VLOOKUP(DM$6,Hoja1!$F$2:$XFD$61,BE34+4,FALSE),0)</f>
        <v>0</v>
      </c>
      <c r="DN34">
        <f>IFERROR(VLOOKUP(DN$6,Hoja1!$F$2:$XFD$61,BF34+4,FALSE),0)</f>
        <v>0</v>
      </c>
      <c r="DO34">
        <f>IFERROR(VLOOKUP(DO$6,Hoja1!$F$2:$XFD$61,BG34+4,FALSE),0)</f>
        <v>0</v>
      </c>
      <c r="DP34">
        <f>IFERROR(VLOOKUP(DP$6,Hoja1!$F$2:$XFD$61,BH34+4,FALSE),0)</f>
        <v>0</v>
      </c>
      <c r="DQ34">
        <f>IFERROR(VLOOKUP(DQ$6,Hoja1!$F$2:$XFD$61,BI34+4,FALSE),0)</f>
        <v>0</v>
      </c>
      <c r="DR34">
        <f>IFERROR(VLOOKUP(DR$6,Hoja1!$F$2:$XFD$61,BJ34+4,FALSE),0)</f>
        <v>0</v>
      </c>
      <c r="DS34">
        <f>IFERROR(VLOOKUP(DS$6,Hoja1!$F$2:$XFD$61,BK34+4,FALSE),0)</f>
        <v>0</v>
      </c>
      <c r="DT34">
        <f>IFERROR(VLOOKUP(DT$6,Hoja1!$F$2:$XFD$61,BL34+4,FALSE),0)</f>
        <v>0</v>
      </c>
      <c r="DU34" s="15" t="str">
        <f t="shared" si="0"/>
        <v/>
      </c>
      <c r="DV34" s="16" t="str">
        <f>IF(D34&lt;&gt;"",IF(DU34="","",IF(DU34&gt;=$DU$7*Hoja1!$E$2,4+3/($DU$7*(1-Hoja1!$E$2))*(DU34-$DU$7*Hoja1!$E$2),1+3/($DU$7*Hoja1!$E$2)*DU34)),DU34)</f>
        <v/>
      </c>
      <c r="DW34" s="47" t="b">
        <v>0</v>
      </c>
    </row>
    <row r="35" spans="1:127" ht="23.25" customHeight="1" x14ac:dyDescent="0.25">
      <c r="A35" s="17">
        <v>26</v>
      </c>
      <c r="B35" s="18"/>
      <c r="C35" s="18"/>
      <c r="D35" s="1"/>
      <c r="E35" s="28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  <c r="BL35" s="29"/>
      <c r="BM35">
        <f>IFERROR(VLOOKUP(BM$6,Hoja1!$F$2:$XFD$61,E35+4,FALSE),0)</f>
        <v>0</v>
      </c>
      <c r="BN35">
        <f>IFERROR(VLOOKUP(BN$6,Hoja1!$F$2:$XFD$61,F35+4,FALSE),0)</f>
        <v>0</v>
      </c>
      <c r="BO35">
        <f>IFERROR(VLOOKUP(BO$6,Hoja1!$F$2:$XFD$61,G35+4,FALSE),0)</f>
        <v>0</v>
      </c>
      <c r="BP35">
        <f>IFERROR(VLOOKUP(BP$6,Hoja1!$F$2:$XFD$61,H35+4,FALSE),0)</f>
        <v>0</v>
      </c>
      <c r="BQ35">
        <f>IFERROR(VLOOKUP(BQ$6,Hoja1!$F$2:$XFD$61,I35+4,FALSE),0)</f>
        <v>0</v>
      </c>
      <c r="BR35">
        <f>IFERROR(VLOOKUP(BR$6,Hoja1!$F$2:$XFD$61,J35+4,FALSE),0)</f>
        <v>0</v>
      </c>
      <c r="BS35">
        <f>IFERROR(VLOOKUP(BS$6,Hoja1!$F$2:$XFD$61,K35+4,FALSE),0)</f>
        <v>0</v>
      </c>
      <c r="BT35">
        <f>IFERROR(VLOOKUP(BT$6,Hoja1!$F$2:$XFD$61,L35+4,FALSE),0)</f>
        <v>0</v>
      </c>
      <c r="BU35">
        <f>IFERROR(VLOOKUP(BU$6,Hoja1!$F$2:$XFD$61,M35+4,FALSE),0)</f>
        <v>0</v>
      </c>
      <c r="BV35">
        <f>IFERROR(VLOOKUP(BV$6,Hoja1!$F$2:$XFD$61,N35+4,FALSE),0)</f>
        <v>0</v>
      </c>
      <c r="BW35">
        <f>IFERROR(VLOOKUP(BW$6,Hoja1!$F$2:$XFD$61,O35+4,FALSE),0)</f>
        <v>0</v>
      </c>
      <c r="BX35">
        <f>IFERROR(VLOOKUP(BX$6,Hoja1!$F$2:$XFD$61,P35+4,FALSE),0)</f>
        <v>0</v>
      </c>
      <c r="BY35">
        <f>IFERROR(VLOOKUP(BY$6,Hoja1!$F$2:$XFD$61,Q35+4,FALSE),0)</f>
        <v>0</v>
      </c>
      <c r="BZ35">
        <f>IFERROR(VLOOKUP(BZ$6,Hoja1!$F$2:$XFD$61,R35+4,FALSE),0)</f>
        <v>0</v>
      </c>
      <c r="CA35">
        <f>IFERROR(VLOOKUP(CA$6,Hoja1!$F$2:$XFD$61,S35+4,FALSE),0)</f>
        <v>0</v>
      </c>
      <c r="CB35">
        <f>IFERROR(VLOOKUP(CB$6,Hoja1!$F$2:$XFD$61,T35+4,FALSE),0)</f>
        <v>0</v>
      </c>
      <c r="CC35">
        <f>IFERROR(VLOOKUP(CC$6,Hoja1!$F$2:$XFD$61,U35+4,FALSE),0)</f>
        <v>0</v>
      </c>
      <c r="CD35">
        <f>IFERROR(VLOOKUP(CD$6,Hoja1!$F$2:$XFD$61,V35+4,FALSE),0)</f>
        <v>0</v>
      </c>
      <c r="CE35">
        <f>IFERROR(VLOOKUP(CE$6,Hoja1!$F$2:$XFD$61,W35+4,FALSE),0)</f>
        <v>0</v>
      </c>
      <c r="CF35">
        <f>IFERROR(VLOOKUP(CF$6,Hoja1!$F$2:$XFD$61,X35+4,FALSE),0)</f>
        <v>0</v>
      </c>
      <c r="CG35">
        <f>IFERROR(VLOOKUP(CG$6,Hoja1!$F$2:$XFD$61,Y35+4,FALSE),0)</f>
        <v>0</v>
      </c>
      <c r="CH35">
        <f>IFERROR(VLOOKUP(CH$6,Hoja1!$F$2:$XFD$61,Z35+4,FALSE),0)</f>
        <v>0</v>
      </c>
      <c r="CI35">
        <f>IFERROR(VLOOKUP(CI$6,Hoja1!$F$2:$XFD$61,AA35+4,FALSE),0)</f>
        <v>0</v>
      </c>
      <c r="CJ35">
        <f>IFERROR(VLOOKUP(CJ$6,Hoja1!$F$2:$XFD$61,AB35+4,FALSE),0)</f>
        <v>0</v>
      </c>
      <c r="CK35">
        <f>IFERROR(VLOOKUP(CK$6,Hoja1!$F$2:$XFD$61,AC35+4,FALSE),0)</f>
        <v>0</v>
      </c>
      <c r="CL35">
        <f>IFERROR(VLOOKUP(CL$6,Hoja1!$F$2:$XFD$61,AD35+4,FALSE),0)</f>
        <v>0</v>
      </c>
      <c r="CM35">
        <f>IFERROR(VLOOKUP(CM$6,Hoja1!$F$2:$XFD$61,AE35+4,FALSE),0)</f>
        <v>0</v>
      </c>
      <c r="CN35">
        <f>IFERROR(VLOOKUP(CN$6,Hoja1!$F$2:$XFD$61,AF35+4,FALSE),0)</f>
        <v>0</v>
      </c>
      <c r="CO35">
        <f>IFERROR(VLOOKUP(CO$6,Hoja1!$F$2:$XFD$61,AG35+4,FALSE),0)</f>
        <v>0</v>
      </c>
      <c r="CP35">
        <f>IFERROR(VLOOKUP(CP$6,Hoja1!$F$2:$XFD$61,AH35+4,FALSE),0)</f>
        <v>0</v>
      </c>
      <c r="CQ35">
        <f>IFERROR(VLOOKUP(CQ$6,Hoja1!$F$2:$XFD$61,AI35+4,FALSE),0)</f>
        <v>0</v>
      </c>
      <c r="CR35">
        <f>IFERROR(VLOOKUP(CR$6,Hoja1!$F$2:$XFD$61,AJ35+4,FALSE),0)</f>
        <v>0</v>
      </c>
      <c r="CS35">
        <f>IFERROR(VLOOKUP(CS$6,Hoja1!$F$2:$XFD$61,AK35+4,FALSE),0)</f>
        <v>0</v>
      </c>
      <c r="CT35">
        <f>IFERROR(VLOOKUP(CT$6,Hoja1!$F$2:$XFD$61,AL35+4,FALSE),0)</f>
        <v>0</v>
      </c>
      <c r="CU35">
        <f>IFERROR(VLOOKUP(CU$6,Hoja1!$F$2:$XFD$61,AM35+4,FALSE),0)</f>
        <v>0</v>
      </c>
      <c r="CV35">
        <f>IFERROR(VLOOKUP(CV$6,Hoja1!$F$2:$XFD$61,AN35+4,FALSE),0)</f>
        <v>0</v>
      </c>
      <c r="CW35">
        <f>IFERROR(VLOOKUP(CW$6,Hoja1!$F$2:$XFD$61,AO35+4,FALSE),0)</f>
        <v>0</v>
      </c>
      <c r="CX35">
        <f>IFERROR(VLOOKUP(CX$6,Hoja1!$F$2:$XFD$61,AP35+4,FALSE),0)</f>
        <v>0</v>
      </c>
      <c r="CY35">
        <f>IFERROR(VLOOKUP(CY$6,Hoja1!$F$2:$XFD$61,AQ35+4,FALSE),0)</f>
        <v>0</v>
      </c>
      <c r="CZ35">
        <f>IFERROR(VLOOKUP(CZ$6,Hoja1!$F$2:$XFD$61,AR35+4,FALSE),0)</f>
        <v>0</v>
      </c>
      <c r="DA35">
        <f>IFERROR(VLOOKUP(DA$6,Hoja1!$F$2:$XFD$61,AS35+4,FALSE),0)</f>
        <v>0</v>
      </c>
      <c r="DB35">
        <f>IFERROR(VLOOKUP(DB$6,Hoja1!$F$2:$XFD$61,AT35+4,FALSE),0)</f>
        <v>0</v>
      </c>
      <c r="DC35">
        <f>IFERROR(VLOOKUP(DC$6,Hoja1!$F$2:$XFD$61,AU35+4,FALSE),0)</f>
        <v>0</v>
      </c>
      <c r="DD35">
        <f>IFERROR(VLOOKUP(DD$6,Hoja1!$F$2:$XFD$61,AV35+4,FALSE),0)</f>
        <v>0</v>
      </c>
      <c r="DE35">
        <f>IFERROR(VLOOKUP(DE$6,Hoja1!$F$2:$XFD$61,AW35+4,FALSE),0)</f>
        <v>0</v>
      </c>
      <c r="DF35">
        <f>IFERROR(VLOOKUP(DF$6,Hoja1!$F$2:$XFD$61,AX35+4,FALSE),0)</f>
        <v>0</v>
      </c>
      <c r="DG35">
        <f>IFERROR(VLOOKUP(DG$6,Hoja1!$F$2:$XFD$61,AY35+4,FALSE),0)</f>
        <v>0</v>
      </c>
      <c r="DH35">
        <f>IFERROR(VLOOKUP(DH$6,Hoja1!$F$2:$XFD$61,AZ35+4,FALSE),0)</f>
        <v>0</v>
      </c>
      <c r="DI35">
        <f>IFERROR(VLOOKUP(DI$6,Hoja1!$F$2:$XFD$61,BA35+4,FALSE),0)</f>
        <v>0</v>
      </c>
      <c r="DJ35">
        <f>IFERROR(VLOOKUP(DJ$6,Hoja1!$F$2:$XFD$61,BB35+4,FALSE),0)</f>
        <v>0</v>
      </c>
      <c r="DK35">
        <f>IFERROR(VLOOKUP(DK$6,Hoja1!$F$2:$XFD$61,BC35+4,FALSE),0)</f>
        <v>0</v>
      </c>
      <c r="DL35">
        <f>IFERROR(VLOOKUP(DL$6,Hoja1!$F$2:$XFD$61,BD35+4,FALSE),0)</f>
        <v>0</v>
      </c>
      <c r="DM35">
        <f>IFERROR(VLOOKUP(DM$6,Hoja1!$F$2:$XFD$61,BE35+4,FALSE),0)</f>
        <v>0</v>
      </c>
      <c r="DN35">
        <f>IFERROR(VLOOKUP(DN$6,Hoja1!$F$2:$XFD$61,BF35+4,FALSE),0)</f>
        <v>0</v>
      </c>
      <c r="DO35">
        <f>IFERROR(VLOOKUP(DO$6,Hoja1!$F$2:$XFD$61,BG35+4,FALSE),0)</f>
        <v>0</v>
      </c>
      <c r="DP35">
        <f>IFERROR(VLOOKUP(DP$6,Hoja1!$F$2:$XFD$61,BH35+4,FALSE),0)</f>
        <v>0</v>
      </c>
      <c r="DQ35">
        <f>IFERROR(VLOOKUP(DQ$6,Hoja1!$F$2:$XFD$61,BI35+4,FALSE),0)</f>
        <v>0</v>
      </c>
      <c r="DR35">
        <f>IFERROR(VLOOKUP(DR$6,Hoja1!$F$2:$XFD$61,BJ35+4,FALSE),0)</f>
        <v>0</v>
      </c>
      <c r="DS35">
        <f>IFERROR(VLOOKUP(DS$6,Hoja1!$F$2:$XFD$61,BK35+4,FALSE),0)</f>
        <v>0</v>
      </c>
      <c r="DT35">
        <f>IFERROR(VLOOKUP(DT$6,Hoja1!$F$2:$XFD$61,BL35+4,FALSE),0)</f>
        <v>0</v>
      </c>
      <c r="DU35" s="15" t="str">
        <f t="shared" si="0"/>
        <v/>
      </c>
      <c r="DV35" s="16" t="str">
        <f>IF(D35&lt;&gt;"",IF(DU35="","",IF(DU35&gt;=$DU$7*Hoja1!$E$2,4+3/($DU$7*(1-Hoja1!$E$2))*(DU35-$DU$7*Hoja1!$E$2),1+3/($DU$7*Hoja1!$E$2)*DU35)),DU35)</f>
        <v/>
      </c>
      <c r="DW35" s="47" t="b">
        <v>0</v>
      </c>
    </row>
    <row r="36" spans="1:127" ht="23.25" customHeight="1" x14ac:dyDescent="0.25">
      <c r="A36" s="17">
        <v>27</v>
      </c>
      <c r="B36" s="18"/>
      <c r="C36" s="18"/>
      <c r="D36" s="1"/>
      <c r="E36" s="28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  <c r="BI36" s="19"/>
      <c r="BJ36" s="19"/>
      <c r="BK36" s="19"/>
      <c r="BL36" s="29"/>
      <c r="BM36">
        <f>IFERROR(VLOOKUP(BM$6,Hoja1!$F$2:$XFD$61,E36+4,FALSE),0)</f>
        <v>0</v>
      </c>
      <c r="BN36">
        <f>IFERROR(VLOOKUP(BN$6,Hoja1!$F$2:$XFD$61,F36+4,FALSE),0)</f>
        <v>0</v>
      </c>
      <c r="BO36">
        <f>IFERROR(VLOOKUP(BO$6,Hoja1!$F$2:$XFD$61,G36+4,FALSE),0)</f>
        <v>0</v>
      </c>
      <c r="BP36">
        <f>IFERROR(VLOOKUP(BP$6,Hoja1!$F$2:$XFD$61,H36+4,FALSE),0)</f>
        <v>0</v>
      </c>
      <c r="BQ36">
        <f>IFERROR(VLOOKUP(BQ$6,Hoja1!$F$2:$XFD$61,I36+4,FALSE),0)</f>
        <v>0</v>
      </c>
      <c r="BR36">
        <f>IFERROR(VLOOKUP(BR$6,Hoja1!$F$2:$XFD$61,J36+4,FALSE),0)</f>
        <v>0</v>
      </c>
      <c r="BS36">
        <f>IFERROR(VLOOKUP(BS$6,Hoja1!$F$2:$XFD$61,K36+4,FALSE),0)</f>
        <v>0</v>
      </c>
      <c r="BT36">
        <f>IFERROR(VLOOKUP(BT$6,Hoja1!$F$2:$XFD$61,L36+4,FALSE),0)</f>
        <v>0</v>
      </c>
      <c r="BU36">
        <f>IFERROR(VLOOKUP(BU$6,Hoja1!$F$2:$XFD$61,M36+4,FALSE),0)</f>
        <v>0</v>
      </c>
      <c r="BV36">
        <f>IFERROR(VLOOKUP(BV$6,Hoja1!$F$2:$XFD$61,N36+4,FALSE),0)</f>
        <v>0</v>
      </c>
      <c r="BW36">
        <f>IFERROR(VLOOKUP(BW$6,Hoja1!$F$2:$XFD$61,O36+4,FALSE),0)</f>
        <v>0</v>
      </c>
      <c r="BX36">
        <f>IFERROR(VLOOKUP(BX$6,Hoja1!$F$2:$XFD$61,P36+4,FALSE),0)</f>
        <v>0</v>
      </c>
      <c r="BY36">
        <f>IFERROR(VLOOKUP(BY$6,Hoja1!$F$2:$XFD$61,Q36+4,FALSE),0)</f>
        <v>0</v>
      </c>
      <c r="BZ36">
        <f>IFERROR(VLOOKUP(BZ$6,Hoja1!$F$2:$XFD$61,R36+4,FALSE),0)</f>
        <v>0</v>
      </c>
      <c r="CA36">
        <f>IFERROR(VLOOKUP(CA$6,Hoja1!$F$2:$XFD$61,S36+4,FALSE),0)</f>
        <v>0</v>
      </c>
      <c r="CB36">
        <f>IFERROR(VLOOKUP(CB$6,Hoja1!$F$2:$XFD$61,T36+4,FALSE),0)</f>
        <v>0</v>
      </c>
      <c r="CC36">
        <f>IFERROR(VLOOKUP(CC$6,Hoja1!$F$2:$XFD$61,U36+4,FALSE),0)</f>
        <v>0</v>
      </c>
      <c r="CD36">
        <f>IFERROR(VLOOKUP(CD$6,Hoja1!$F$2:$XFD$61,V36+4,FALSE),0)</f>
        <v>0</v>
      </c>
      <c r="CE36">
        <f>IFERROR(VLOOKUP(CE$6,Hoja1!$F$2:$XFD$61,W36+4,FALSE),0)</f>
        <v>0</v>
      </c>
      <c r="CF36">
        <f>IFERROR(VLOOKUP(CF$6,Hoja1!$F$2:$XFD$61,X36+4,FALSE),0)</f>
        <v>0</v>
      </c>
      <c r="CG36">
        <f>IFERROR(VLOOKUP(CG$6,Hoja1!$F$2:$XFD$61,Y36+4,FALSE),0)</f>
        <v>0</v>
      </c>
      <c r="CH36">
        <f>IFERROR(VLOOKUP(CH$6,Hoja1!$F$2:$XFD$61,Z36+4,FALSE),0)</f>
        <v>0</v>
      </c>
      <c r="CI36">
        <f>IFERROR(VLOOKUP(CI$6,Hoja1!$F$2:$XFD$61,AA36+4,FALSE),0)</f>
        <v>0</v>
      </c>
      <c r="CJ36">
        <f>IFERROR(VLOOKUP(CJ$6,Hoja1!$F$2:$XFD$61,AB36+4,FALSE),0)</f>
        <v>0</v>
      </c>
      <c r="CK36">
        <f>IFERROR(VLOOKUP(CK$6,Hoja1!$F$2:$XFD$61,AC36+4,FALSE),0)</f>
        <v>0</v>
      </c>
      <c r="CL36">
        <f>IFERROR(VLOOKUP(CL$6,Hoja1!$F$2:$XFD$61,AD36+4,FALSE),0)</f>
        <v>0</v>
      </c>
      <c r="CM36">
        <f>IFERROR(VLOOKUP(CM$6,Hoja1!$F$2:$XFD$61,AE36+4,FALSE),0)</f>
        <v>0</v>
      </c>
      <c r="CN36">
        <f>IFERROR(VLOOKUP(CN$6,Hoja1!$F$2:$XFD$61,AF36+4,FALSE),0)</f>
        <v>0</v>
      </c>
      <c r="CO36">
        <f>IFERROR(VLOOKUP(CO$6,Hoja1!$F$2:$XFD$61,AG36+4,FALSE),0)</f>
        <v>0</v>
      </c>
      <c r="CP36">
        <f>IFERROR(VLOOKUP(CP$6,Hoja1!$F$2:$XFD$61,AH36+4,FALSE),0)</f>
        <v>0</v>
      </c>
      <c r="CQ36">
        <f>IFERROR(VLOOKUP(CQ$6,Hoja1!$F$2:$XFD$61,AI36+4,FALSE),0)</f>
        <v>0</v>
      </c>
      <c r="CR36">
        <f>IFERROR(VLOOKUP(CR$6,Hoja1!$F$2:$XFD$61,AJ36+4,FALSE),0)</f>
        <v>0</v>
      </c>
      <c r="CS36">
        <f>IFERROR(VLOOKUP(CS$6,Hoja1!$F$2:$XFD$61,AK36+4,FALSE),0)</f>
        <v>0</v>
      </c>
      <c r="CT36">
        <f>IFERROR(VLOOKUP(CT$6,Hoja1!$F$2:$XFD$61,AL36+4,FALSE),0)</f>
        <v>0</v>
      </c>
      <c r="CU36">
        <f>IFERROR(VLOOKUP(CU$6,Hoja1!$F$2:$XFD$61,AM36+4,FALSE),0)</f>
        <v>0</v>
      </c>
      <c r="CV36">
        <f>IFERROR(VLOOKUP(CV$6,Hoja1!$F$2:$XFD$61,AN36+4,FALSE),0)</f>
        <v>0</v>
      </c>
      <c r="CW36">
        <f>IFERROR(VLOOKUP(CW$6,Hoja1!$F$2:$XFD$61,AO36+4,FALSE),0)</f>
        <v>0</v>
      </c>
      <c r="CX36">
        <f>IFERROR(VLOOKUP(CX$6,Hoja1!$F$2:$XFD$61,AP36+4,FALSE),0)</f>
        <v>0</v>
      </c>
      <c r="CY36">
        <f>IFERROR(VLOOKUP(CY$6,Hoja1!$F$2:$XFD$61,AQ36+4,FALSE),0)</f>
        <v>0</v>
      </c>
      <c r="CZ36">
        <f>IFERROR(VLOOKUP(CZ$6,Hoja1!$F$2:$XFD$61,AR36+4,FALSE),0)</f>
        <v>0</v>
      </c>
      <c r="DA36">
        <f>IFERROR(VLOOKUP(DA$6,Hoja1!$F$2:$XFD$61,AS36+4,FALSE),0)</f>
        <v>0</v>
      </c>
      <c r="DB36">
        <f>IFERROR(VLOOKUP(DB$6,Hoja1!$F$2:$XFD$61,AT36+4,FALSE),0)</f>
        <v>0</v>
      </c>
      <c r="DC36">
        <f>IFERROR(VLOOKUP(DC$6,Hoja1!$F$2:$XFD$61,AU36+4,FALSE),0)</f>
        <v>0</v>
      </c>
      <c r="DD36">
        <f>IFERROR(VLOOKUP(DD$6,Hoja1!$F$2:$XFD$61,AV36+4,FALSE),0)</f>
        <v>0</v>
      </c>
      <c r="DE36">
        <f>IFERROR(VLOOKUP(DE$6,Hoja1!$F$2:$XFD$61,AW36+4,FALSE),0)</f>
        <v>0</v>
      </c>
      <c r="DF36">
        <f>IFERROR(VLOOKUP(DF$6,Hoja1!$F$2:$XFD$61,AX36+4,FALSE),0)</f>
        <v>0</v>
      </c>
      <c r="DG36">
        <f>IFERROR(VLOOKUP(DG$6,Hoja1!$F$2:$XFD$61,AY36+4,FALSE),0)</f>
        <v>0</v>
      </c>
      <c r="DH36">
        <f>IFERROR(VLOOKUP(DH$6,Hoja1!$F$2:$XFD$61,AZ36+4,FALSE),0)</f>
        <v>0</v>
      </c>
      <c r="DI36">
        <f>IFERROR(VLOOKUP(DI$6,Hoja1!$F$2:$XFD$61,BA36+4,FALSE),0)</f>
        <v>0</v>
      </c>
      <c r="DJ36">
        <f>IFERROR(VLOOKUP(DJ$6,Hoja1!$F$2:$XFD$61,BB36+4,FALSE),0)</f>
        <v>0</v>
      </c>
      <c r="DK36">
        <f>IFERROR(VLOOKUP(DK$6,Hoja1!$F$2:$XFD$61,BC36+4,FALSE),0)</f>
        <v>0</v>
      </c>
      <c r="DL36">
        <f>IFERROR(VLOOKUP(DL$6,Hoja1!$F$2:$XFD$61,BD36+4,FALSE),0)</f>
        <v>0</v>
      </c>
      <c r="DM36">
        <f>IFERROR(VLOOKUP(DM$6,Hoja1!$F$2:$XFD$61,BE36+4,FALSE),0)</f>
        <v>0</v>
      </c>
      <c r="DN36">
        <f>IFERROR(VLOOKUP(DN$6,Hoja1!$F$2:$XFD$61,BF36+4,FALSE),0)</f>
        <v>0</v>
      </c>
      <c r="DO36">
        <f>IFERROR(VLOOKUP(DO$6,Hoja1!$F$2:$XFD$61,BG36+4,FALSE),0)</f>
        <v>0</v>
      </c>
      <c r="DP36">
        <f>IFERROR(VLOOKUP(DP$6,Hoja1!$F$2:$XFD$61,BH36+4,FALSE),0)</f>
        <v>0</v>
      </c>
      <c r="DQ36">
        <f>IFERROR(VLOOKUP(DQ$6,Hoja1!$F$2:$XFD$61,BI36+4,FALSE),0)</f>
        <v>0</v>
      </c>
      <c r="DR36">
        <f>IFERROR(VLOOKUP(DR$6,Hoja1!$F$2:$XFD$61,BJ36+4,FALSE),0)</f>
        <v>0</v>
      </c>
      <c r="DS36">
        <f>IFERROR(VLOOKUP(DS$6,Hoja1!$F$2:$XFD$61,BK36+4,FALSE),0)</f>
        <v>0</v>
      </c>
      <c r="DT36">
        <f>IFERROR(VLOOKUP(DT$6,Hoja1!$F$2:$XFD$61,BL36+4,FALSE),0)</f>
        <v>0</v>
      </c>
      <c r="DU36" s="15" t="str">
        <f t="shared" si="0"/>
        <v/>
      </c>
      <c r="DV36" s="16" t="str">
        <f>IF(D36&lt;&gt;"",IF(DU36="","",IF(DU36&gt;=$DU$7*Hoja1!$E$2,4+3/($DU$7*(1-Hoja1!$E$2))*(DU36-$DU$7*Hoja1!$E$2),1+3/($DU$7*Hoja1!$E$2)*DU36)),DU36)</f>
        <v/>
      </c>
      <c r="DW36" s="47" t="b">
        <v>0</v>
      </c>
    </row>
    <row r="37" spans="1:127" ht="23.25" customHeight="1" x14ac:dyDescent="0.25">
      <c r="A37" s="17">
        <v>28</v>
      </c>
      <c r="B37" s="18"/>
      <c r="C37" s="18"/>
      <c r="D37" s="1"/>
      <c r="E37" s="28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  <c r="BK37" s="19"/>
      <c r="BL37" s="29"/>
      <c r="BM37">
        <f>IFERROR(VLOOKUP(BM$6,Hoja1!$F$2:$XFD$61,E37+4,FALSE),0)</f>
        <v>0</v>
      </c>
      <c r="BN37">
        <f>IFERROR(VLOOKUP(BN$6,Hoja1!$F$2:$XFD$61,F37+4,FALSE),0)</f>
        <v>0</v>
      </c>
      <c r="BO37">
        <f>IFERROR(VLOOKUP(BO$6,Hoja1!$F$2:$XFD$61,G37+4,FALSE),0)</f>
        <v>0</v>
      </c>
      <c r="BP37">
        <f>IFERROR(VLOOKUP(BP$6,Hoja1!$F$2:$XFD$61,H37+4,FALSE),0)</f>
        <v>0</v>
      </c>
      <c r="BQ37">
        <f>IFERROR(VLOOKUP(BQ$6,Hoja1!$F$2:$XFD$61,I37+4,FALSE),0)</f>
        <v>0</v>
      </c>
      <c r="BR37">
        <f>IFERROR(VLOOKUP(BR$6,Hoja1!$F$2:$XFD$61,J37+4,FALSE),0)</f>
        <v>0</v>
      </c>
      <c r="BS37">
        <f>IFERROR(VLOOKUP(BS$6,Hoja1!$F$2:$XFD$61,K37+4,FALSE),0)</f>
        <v>0</v>
      </c>
      <c r="BT37">
        <f>IFERROR(VLOOKUP(BT$6,Hoja1!$F$2:$XFD$61,L37+4,FALSE),0)</f>
        <v>0</v>
      </c>
      <c r="BU37">
        <f>IFERROR(VLOOKUP(BU$6,Hoja1!$F$2:$XFD$61,M37+4,FALSE),0)</f>
        <v>0</v>
      </c>
      <c r="BV37">
        <f>IFERROR(VLOOKUP(BV$6,Hoja1!$F$2:$XFD$61,N37+4,FALSE),0)</f>
        <v>0</v>
      </c>
      <c r="BW37">
        <f>IFERROR(VLOOKUP(BW$6,Hoja1!$F$2:$XFD$61,O37+4,FALSE),0)</f>
        <v>0</v>
      </c>
      <c r="BX37">
        <f>IFERROR(VLOOKUP(BX$6,Hoja1!$F$2:$XFD$61,P37+4,FALSE),0)</f>
        <v>0</v>
      </c>
      <c r="BY37">
        <f>IFERROR(VLOOKUP(BY$6,Hoja1!$F$2:$XFD$61,Q37+4,FALSE),0)</f>
        <v>0</v>
      </c>
      <c r="BZ37">
        <f>IFERROR(VLOOKUP(BZ$6,Hoja1!$F$2:$XFD$61,R37+4,FALSE),0)</f>
        <v>0</v>
      </c>
      <c r="CA37">
        <f>IFERROR(VLOOKUP(CA$6,Hoja1!$F$2:$XFD$61,S37+4,FALSE),0)</f>
        <v>0</v>
      </c>
      <c r="CB37">
        <f>IFERROR(VLOOKUP(CB$6,Hoja1!$F$2:$XFD$61,T37+4,FALSE),0)</f>
        <v>0</v>
      </c>
      <c r="CC37">
        <f>IFERROR(VLOOKUP(CC$6,Hoja1!$F$2:$XFD$61,U37+4,FALSE),0)</f>
        <v>0</v>
      </c>
      <c r="CD37">
        <f>IFERROR(VLOOKUP(CD$6,Hoja1!$F$2:$XFD$61,V37+4,FALSE),0)</f>
        <v>0</v>
      </c>
      <c r="CE37">
        <f>IFERROR(VLOOKUP(CE$6,Hoja1!$F$2:$XFD$61,W37+4,FALSE),0)</f>
        <v>0</v>
      </c>
      <c r="CF37">
        <f>IFERROR(VLOOKUP(CF$6,Hoja1!$F$2:$XFD$61,X37+4,FALSE),0)</f>
        <v>0</v>
      </c>
      <c r="CG37">
        <f>IFERROR(VLOOKUP(CG$6,Hoja1!$F$2:$XFD$61,Y37+4,FALSE),0)</f>
        <v>0</v>
      </c>
      <c r="CH37">
        <f>IFERROR(VLOOKUP(CH$6,Hoja1!$F$2:$XFD$61,Z37+4,FALSE),0)</f>
        <v>0</v>
      </c>
      <c r="CI37">
        <f>IFERROR(VLOOKUP(CI$6,Hoja1!$F$2:$XFD$61,AA37+4,FALSE),0)</f>
        <v>0</v>
      </c>
      <c r="CJ37">
        <f>IFERROR(VLOOKUP(CJ$6,Hoja1!$F$2:$XFD$61,AB37+4,FALSE),0)</f>
        <v>0</v>
      </c>
      <c r="CK37">
        <f>IFERROR(VLOOKUP(CK$6,Hoja1!$F$2:$XFD$61,AC37+4,FALSE),0)</f>
        <v>0</v>
      </c>
      <c r="CL37">
        <f>IFERROR(VLOOKUP(CL$6,Hoja1!$F$2:$XFD$61,AD37+4,FALSE),0)</f>
        <v>0</v>
      </c>
      <c r="CM37">
        <f>IFERROR(VLOOKUP(CM$6,Hoja1!$F$2:$XFD$61,AE37+4,FALSE),0)</f>
        <v>0</v>
      </c>
      <c r="CN37">
        <f>IFERROR(VLOOKUP(CN$6,Hoja1!$F$2:$XFD$61,AF37+4,FALSE),0)</f>
        <v>0</v>
      </c>
      <c r="CO37">
        <f>IFERROR(VLOOKUP(CO$6,Hoja1!$F$2:$XFD$61,AG37+4,FALSE),0)</f>
        <v>0</v>
      </c>
      <c r="CP37">
        <f>IFERROR(VLOOKUP(CP$6,Hoja1!$F$2:$XFD$61,AH37+4,FALSE),0)</f>
        <v>0</v>
      </c>
      <c r="CQ37">
        <f>IFERROR(VLOOKUP(CQ$6,Hoja1!$F$2:$XFD$61,AI37+4,FALSE),0)</f>
        <v>0</v>
      </c>
      <c r="CR37">
        <f>IFERROR(VLOOKUP(CR$6,Hoja1!$F$2:$XFD$61,AJ37+4,FALSE),0)</f>
        <v>0</v>
      </c>
      <c r="CS37">
        <f>IFERROR(VLOOKUP(CS$6,Hoja1!$F$2:$XFD$61,AK37+4,FALSE),0)</f>
        <v>0</v>
      </c>
      <c r="CT37">
        <f>IFERROR(VLOOKUP(CT$6,Hoja1!$F$2:$XFD$61,AL37+4,FALSE),0)</f>
        <v>0</v>
      </c>
      <c r="CU37">
        <f>IFERROR(VLOOKUP(CU$6,Hoja1!$F$2:$XFD$61,AM37+4,FALSE),0)</f>
        <v>0</v>
      </c>
      <c r="CV37">
        <f>IFERROR(VLOOKUP(CV$6,Hoja1!$F$2:$XFD$61,AN37+4,FALSE),0)</f>
        <v>0</v>
      </c>
      <c r="CW37">
        <f>IFERROR(VLOOKUP(CW$6,Hoja1!$F$2:$XFD$61,AO37+4,FALSE),0)</f>
        <v>0</v>
      </c>
      <c r="CX37">
        <f>IFERROR(VLOOKUP(CX$6,Hoja1!$F$2:$XFD$61,AP37+4,FALSE),0)</f>
        <v>0</v>
      </c>
      <c r="CY37">
        <f>IFERROR(VLOOKUP(CY$6,Hoja1!$F$2:$XFD$61,AQ37+4,FALSE),0)</f>
        <v>0</v>
      </c>
      <c r="CZ37">
        <f>IFERROR(VLOOKUP(CZ$6,Hoja1!$F$2:$XFD$61,AR37+4,FALSE),0)</f>
        <v>0</v>
      </c>
      <c r="DA37">
        <f>IFERROR(VLOOKUP(DA$6,Hoja1!$F$2:$XFD$61,AS37+4,FALSE),0)</f>
        <v>0</v>
      </c>
      <c r="DB37">
        <f>IFERROR(VLOOKUP(DB$6,Hoja1!$F$2:$XFD$61,AT37+4,FALSE),0)</f>
        <v>0</v>
      </c>
      <c r="DC37">
        <f>IFERROR(VLOOKUP(DC$6,Hoja1!$F$2:$XFD$61,AU37+4,FALSE),0)</f>
        <v>0</v>
      </c>
      <c r="DD37">
        <f>IFERROR(VLOOKUP(DD$6,Hoja1!$F$2:$XFD$61,AV37+4,FALSE),0)</f>
        <v>0</v>
      </c>
      <c r="DE37">
        <f>IFERROR(VLOOKUP(DE$6,Hoja1!$F$2:$XFD$61,AW37+4,FALSE),0)</f>
        <v>0</v>
      </c>
      <c r="DF37">
        <f>IFERROR(VLOOKUP(DF$6,Hoja1!$F$2:$XFD$61,AX37+4,FALSE),0)</f>
        <v>0</v>
      </c>
      <c r="DG37">
        <f>IFERROR(VLOOKUP(DG$6,Hoja1!$F$2:$XFD$61,AY37+4,FALSE),0)</f>
        <v>0</v>
      </c>
      <c r="DH37">
        <f>IFERROR(VLOOKUP(DH$6,Hoja1!$F$2:$XFD$61,AZ37+4,FALSE),0)</f>
        <v>0</v>
      </c>
      <c r="DI37">
        <f>IFERROR(VLOOKUP(DI$6,Hoja1!$F$2:$XFD$61,BA37+4,FALSE),0)</f>
        <v>0</v>
      </c>
      <c r="DJ37">
        <f>IFERROR(VLOOKUP(DJ$6,Hoja1!$F$2:$XFD$61,BB37+4,FALSE),0)</f>
        <v>0</v>
      </c>
      <c r="DK37">
        <f>IFERROR(VLOOKUP(DK$6,Hoja1!$F$2:$XFD$61,BC37+4,FALSE),0)</f>
        <v>0</v>
      </c>
      <c r="DL37">
        <f>IFERROR(VLOOKUP(DL$6,Hoja1!$F$2:$XFD$61,BD37+4,FALSE),0)</f>
        <v>0</v>
      </c>
      <c r="DM37">
        <f>IFERROR(VLOOKUP(DM$6,Hoja1!$F$2:$XFD$61,BE37+4,FALSE),0)</f>
        <v>0</v>
      </c>
      <c r="DN37">
        <f>IFERROR(VLOOKUP(DN$6,Hoja1!$F$2:$XFD$61,BF37+4,FALSE),0)</f>
        <v>0</v>
      </c>
      <c r="DO37">
        <f>IFERROR(VLOOKUP(DO$6,Hoja1!$F$2:$XFD$61,BG37+4,FALSE),0)</f>
        <v>0</v>
      </c>
      <c r="DP37">
        <f>IFERROR(VLOOKUP(DP$6,Hoja1!$F$2:$XFD$61,BH37+4,FALSE),0)</f>
        <v>0</v>
      </c>
      <c r="DQ37">
        <f>IFERROR(VLOOKUP(DQ$6,Hoja1!$F$2:$XFD$61,BI37+4,FALSE),0)</f>
        <v>0</v>
      </c>
      <c r="DR37">
        <f>IFERROR(VLOOKUP(DR$6,Hoja1!$F$2:$XFD$61,BJ37+4,FALSE),0)</f>
        <v>0</v>
      </c>
      <c r="DS37">
        <f>IFERROR(VLOOKUP(DS$6,Hoja1!$F$2:$XFD$61,BK37+4,FALSE),0)</f>
        <v>0</v>
      </c>
      <c r="DT37">
        <f>IFERROR(VLOOKUP(DT$6,Hoja1!$F$2:$XFD$61,BL37+4,FALSE),0)</f>
        <v>0</v>
      </c>
      <c r="DU37" s="15" t="str">
        <f t="shared" si="0"/>
        <v/>
      </c>
      <c r="DV37" s="16" t="str">
        <f>IF(D37&lt;&gt;"",IF(DU37="","",IF(DU37&gt;=$DU$7*Hoja1!$E$2,4+3/($DU$7*(1-Hoja1!$E$2))*(DU37-$DU$7*Hoja1!$E$2),1+3/($DU$7*Hoja1!$E$2)*DU37)),DU37)</f>
        <v/>
      </c>
      <c r="DW37" s="47" t="b">
        <v>0</v>
      </c>
    </row>
    <row r="38" spans="1:127" ht="23.25" customHeight="1" x14ac:dyDescent="0.25">
      <c r="A38" s="17">
        <v>29</v>
      </c>
      <c r="B38" s="18"/>
      <c r="C38" s="18"/>
      <c r="D38" s="1"/>
      <c r="E38" s="28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  <c r="BH38" s="19"/>
      <c r="BI38" s="19"/>
      <c r="BJ38" s="19"/>
      <c r="BK38" s="19"/>
      <c r="BL38" s="29"/>
      <c r="BM38">
        <f>IFERROR(VLOOKUP(BM$6,Hoja1!$F$2:$XFD$61,E38+4,FALSE),0)</f>
        <v>0</v>
      </c>
      <c r="BN38">
        <f>IFERROR(VLOOKUP(BN$6,Hoja1!$F$2:$XFD$61,F38+4,FALSE),0)</f>
        <v>0</v>
      </c>
      <c r="BO38">
        <f>IFERROR(VLOOKUP(BO$6,Hoja1!$F$2:$XFD$61,G38+4,FALSE),0)</f>
        <v>0</v>
      </c>
      <c r="BP38">
        <f>IFERROR(VLOOKUP(BP$6,Hoja1!$F$2:$XFD$61,H38+4,FALSE),0)</f>
        <v>0</v>
      </c>
      <c r="BQ38">
        <f>IFERROR(VLOOKUP(BQ$6,Hoja1!$F$2:$XFD$61,I38+4,FALSE),0)</f>
        <v>0</v>
      </c>
      <c r="BR38">
        <f>IFERROR(VLOOKUP(BR$6,Hoja1!$F$2:$XFD$61,J38+4,FALSE),0)</f>
        <v>0</v>
      </c>
      <c r="BS38">
        <f>IFERROR(VLOOKUP(BS$6,Hoja1!$F$2:$XFD$61,K38+4,FALSE),0)</f>
        <v>0</v>
      </c>
      <c r="BT38">
        <f>IFERROR(VLOOKUP(BT$6,Hoja1!$F$2:$XFD$61,L38+4,FALSE),0)</f>
        <v>0</v>
      </c>
      <c r="BU38">
        <f>IFERROR(VLOOKUP(BU$6,Hoja1!$F$2:$XFD$61,M38+4,FALSE),0)</f>
        <v>0</v>
      </c>
      <c r="BV38">
        <f>IFERROR(VLOOKUP(BV$6,Hoja1!$F$2:$XFD$61,N38+4,FALSE),0)</f>
        <v>0</v>
      </c>
      <c r="BW38">
        <f>IFERROR(VLOOKUP(BW$6,Hoja1!$F$2:$XFD$61,O38+4,FALSE),0)</f>
        <v>0</v>
      </c>
      <c r="BX38">
        <f>IFERROR(VLOOKUP(BX$6,Hoja1!$F$2:$XFD$61,P38+4,FALSE),0)</f>
        <v>0</v>
      </c>
      <c r="BY38">
        <f>IFERROR(VLOOKUP(BY$6,Hoja1!$F$2:$XFD$61,Q38+4,FALSE),0)</f>
        <v>0</v>
      </c>
      <c r="BZ38">
        <f>IFERROR(VLOOKUP(BZ$6,Hoja1!$F$2:$XFD$61,R38+4,FALSE),0)</f>
        <v>0</v>
      </c>
      <c r="CA38">
        <f>IFERROR(VLOOKUP(CA$6,Hoja1!$F$2:$XFD$61,S38+4,FALSE),0)</f>
        <v>0</v>
      </c>
      <c r="CB38">
        <f>IFERROR(VLOOKUP(CB$6,Hoja1!$F$2:$XFD$61,T38+4,FALSE),0)</f>
        <v>0</v>
      </c>
      <c r="CC38">
        <f>IFERROR(VLOOKUP(CC$6,Hoja1!$F$2:$XFD$61,U38+4,FALSE),0)</f>
        <v>0</v>
      </c>
      <c r="CD38">
        <f>IFERROR(VLOOKUP(CD$6,Hoja1!$F$2:$XFD$61,V38+4,FALSE),0)</f>
        <v>0</v>
      </c>
      <c r="CE38">
        <f>IFERROR(VLOOKUP(CE$6,Hoja1!$F$2:$XFD$61,W38+4,FALSE),0)</f>
        <v>0</v>
      </c>
      <c r="CF38">
        <f>IFERROR(VLOOKUP(CF$6,Hoja1!$F$2:$XFD$61,X38+4,FALSE),0)</f>
        <v>0</v>
      </c>
      <c r="CG38">
        <f>IFERROR(VLOOKUP(CG$6,Hoja1!$F$2:$XFD$61,Y38+4,FALSE),0)</f>
        <v>0</v>
      </c>
      <c r="CH38">
        <f>IFERROR(VLOOKUP(CH$6,Hoja1!$F$2:$XFD$61,Z38+4,FALSE),0)</f>
        <v>0</v>
      </c>
      <c r="CI38">
        <f>IFERROR(VLOOKUP(CI$6,Hoja1!$F$2:$XFD$61,AA38+4,FALSE),0)</f>
        <v>0</v>
      </c>
      <c r="CJ38">
        <f>IFERROR(VLOOKUP(CJ$6,Hoja1!$F$2:$XFD$61,AB38+4,FALSE),0)</f>
        <v>0</v>
      </c>
      <c r="CK38">
        <f>IFERROR(VLOOKUP(CK$6,Hoja1!$F$2:$XFD$61,AC38+4,FALSE),0)</f>
        <v>0</v>
      </c>
      <c r="CL38">
        <f>IFERROR(VLOOKUP(CL$6,Hoja1!$F$2:$XFD$61,AD38+4,FALSE),0)</f>
        <v>0</v>
      </c>
      <c r="CM38">
        <f>IFERROR(VLOOKUP(CM$6,Hoja1!$F$2:$XFD$61,AE38+4,FALSE),0)</f>
        <v>0</v>
      </c>
      <c r="CN38">
        <f>IFERROR(VLOOKUP(CN$6,Hoja1!$F$2:$XFD$61,AF38+4,FALSE),0)</f>
        <v>0</v>
      </c>
      <c r="CO38">
        <f>IFERROR(VLOOKUP(CO$6,Hoja1!$F$2:$XFD$61,AG38+4,FALSE),0)</f>
        <v>0</v>
      </c>
      <c r="CP38">
        <f>IFERROR(VLOOKUP(CP$6,Hoja1!$F$2:$XFD$61,AH38+4,FALSE),0)</f>
        <v>0</v>
      </c>
      <c r="CQ38">
        <f>IFERROR(VLOOKUP(CQ$6,Hoja1!$F$2:$XFD$61,AI38+4,FALSE),0)</f>
        <v>0</v>
      </c>
      <c r="CR38">
        <f>IFERROR(VLOOKUP(CR$6,Hoja1!$F$2:$XFD$61,AJ38+4,FALSE),0)</f>
        <v>0</v>
      </c>
      <c r="CS38">
        <f>IFERROR(VLOOKUP(CS$6,Hoja1!$F$2:$XFD$61,AK38+4,FALSE),0)</f>
        <v>0</v>
      </c>
      <c r="CT38">
        <f>IFERROR(VLOOKUP(CT$6,Hoja1!$F$2:$XFD$61,AL38+4,FALSE),0)</f>
        <v>0</v>
      </c>
      <c r="CU38">
        <f>IFERROR(VLOOKUP(CU$6,Hoja1!$F$2:$XFD$61,AM38+4,FALSE),0)</f>
        <v>0</v>
      </c>
      <c r="CV38">
        <f>IFERROR(VLOOKUP(CV$6,Hoja1!$F$2:$XFD$61,AN38+4,FALSE),0)</f>
        <v>0</v>
      </c>
      <c r="CW38">
        <f>IFERROR(VLOOKUP(CW$6,Hoja1!$F$2:$XFD$61,AO38+4,FALSE),0)</f>
        <v>0</v>
      </c>
      <c r="CX38">
        <f>IFERROR(VLOOKUP(CX$6,Hoja1!$F$2:$XFD$61,AP38+4,FALSE),0)</f>
        <v>0</v>
      </c>
      <c r="CY38">
        <f>IFERROR(VLOOKUP(CY$6,Hoja1!$F$2:$XFD$61,AQ38+4,FALSE),0)</f>
        <v>0</v>
      </c>
      <c r="CZ38">
        <f>IFERROR(VLOOKUP(CZ$6,Hoja1!$F$2:$XFD$61,AR38+4,FALSE),0)</f>
        <v>0</v>
      </c>
      <c r="DA38">
        <f>IFERROR(VLOOKUP(DA$6,Hoja1!$F$2:$XFD$61,AS38+4,FALSE),0)</f>
        <v>0</v>
      </c>
      <c r="DB38">
        <f>IFERROR(VLOOKUP(DB$6,Hoja1!$F$2:$XFD$61,AT38+4,FALSE),0)</f>
        <v>0</v>
      </c>
      <c r="DC38">
        <f>IFERROR(VLOOKUP(DC$6,Hoja1!$F$2:$XFD$61,AU38+4,FALSE),0)</f>
        <v>0</v>
      </c>
      <c r="DD38">
        <f>IFERROR(VLOOKUP(DD$6,Hoja1!$F$2:$XFD$61,AV38+4,FALSE),0)</f>
        <v>0</v>
      </c>
      <c r="DE38">
        <f>IFERROR(VLOOKUP(DE$6,Hoja1!$F$2:$XFD$61,AW38+4,FALSE),0)</f>
        <v>0</v>
      </c>
      <c r="DF38">
        <f>IFERROR(VLOOKUP(DF$6,Hoja1!$F$2:$XFD$61,AX38+4,FALSE),0)</f>
        <v>0</v>
      </c>
      <c r="DG38">
        <f>IFERROR(VLOOKUP(DG$6,Hoja1!$F$2:$XFD$61,AY38+4,FALSE),0)</f>
        <v>0</v>
      </c>
      <c r="DH38">
        <f>IFERROR(VLOOKUP(DH$6,Hoja1!$F$2:$XFD$61,AZ38+4,FALSE),0)</f>
        <v>0</v>
      </c>
      <c r="DI38">
        <f>IFERROR(VLOOKUP(DI$6,Hoja1!$F$2:$XFD$61,BA38+4,FALSE),0)</f>
        <v>0</v>
      </c>
      <c r="DJ38">
        <f>IFERROR(VLOOKUP(DJ$6,Hoja1!$F$2:$XFD$61,BB38+4,FALSE),0)</f>
        <v>0</v>
      </c>
      <c r="DK38">
        <f>IFERROR(VLOOKUP(DK$6,Hoja1!$F$2:$XFD$61,BC38+4,FALSE),0)</f>
        <v>0</v>
      </c>
      <c r="DL38">
        <f>IFERROR(VLOOKUP(DL$6,Hoja1!$F$2:$XFD$61,BD38+4,FALSE),0)</f>
        <v>0</v>
      </c>
      <c r="DM38">
        <f>IFERROR(VLOOKUP(DM$6,Hoja1!$F$2:$XFD$61,BE38+4,FALSE),0)</f>
        <v>0</v>
      </c>
      <c r="DN38">
        <f>IFERROR(VLOOKUP(DN$6,Hoja1!$F$2:$XFD$61,BF38+4,FALSE),0)</f>
        <v>0</v>
      </c>
      <c r="DO38">
        <f>IFERROR(VLOOKUP(DO$6,Hoja1!$F$2:$XFD$61,BG38+4,FALSE),0)</f>
        <v>0</v>
      </c>
      <c r="DP38">
        <f>IFERROR(VLOOKUP(DP$6,Hoja1!$F$2:$XFD$61,BH38+4,FALSE),0)</f>
        <v>0</v>
      </c>
      <c r="DQ38">
        <f>IFERROR(VLOOKUP(DQ$6,Hoja1!$F$2:$XFD$61,BI38+4,FALSE),0)</f>
        <v>0</v>
      </c>
      <c r="DR38">
        <f>IFERROR(VLOOKUP(DR$6,Hoja1!$F$2:$XFD$61,BJ38+4,FALSE),0)</f>
        <v>0</v>
      </c>
      <c r="DS38">
        <f>IFERROR(VLOOKUP(DS$6,Hoja1!$F$2:$XFD$61,BK38+4,FALSE),0)</f>
        <v>0</v>
      </c>
      <c r="DT38">
        <f>IFERROR(VLOOKUP(DT$6,Hoja1!$F$2:$XFD$61,BL38+4,FALSE),0)</f>
        <v>0</v>
      </c>
      <c r="DU38" s="15" t="str">
        <f t="shared" si="0"/>
        <v/>
      </c>
      <c r="DV38" s="16" t="str">
        <f>IF(D38&lt;&gt;"",IF(DU38="","",IF(DU38&gt;=$DU$7*Hoja1!$E$2,4+3/($DU$7*(1-Hoja1!$E$2))*(DU38-$DU$7*Hoja1!$E$2),1+3/($DU$7*Hoja1!$E$2)*DU38)),DU38)</f>
        <v/>
      </c>
      <c r="DW38" s="47" t="b">
        <v>0</v>
      </c>
    </row>
    <row r="39" spans="1:127" ht="23.25" customHeight="1" x14ac:dyDescent="0.25">
      <c r="A39" s="17">
        <v>30</v>
      </c>
      <c r="B39" s="18"/>
      <c r="C39" s="18"/>
      <c r="D39" s="1"/>
      <c r="E39" s="28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29"/>
      <c r="BM39">
        <f>IFERROR(VLOOKUP(BM$6,Hoja1!$F$2:$XFD$61,E39+4,FALSE),0)</f>
        <v>0</v>
      </c>
      <c r="BN39">
        <f>IFERROR(VLOOKUP(BN$6,Hoja1!$F$2:$XFD$61,F39+4,FALSE),0)</f>
        <v>0</v>
      </c>
      <c r="BO39">
        <f>IFERROR(VLOOKUP(BO$6,Hoja1!$F$2:$XFD$61,G39+4,FALSE),0)</f>
        <v>0</v>
      </c>
      <c r="BP39">
        <f>IFERROR(VLOOKUP(BP$6,Hoja1!$F$2:$XFD$61,H39+4,FALSE),0)</f>
        <v>0</v>
      </c>
      <c r="BQ39">
        <f>IFERROR(VLOOKUP(BQ$6,Hoja1!$F$2:$XFD$61,I39+4,FALSE),0)</f>
        <v>0</v>
      </c>
      <c r="BR39">
        <f>IFERROR(VLOOKUP(BR$6,Hoja1!$F$2:$XFD$61,J39+4,FALSE),0)</f>
        <v>0</v>
      </c>
      <c r="BS39">
        <f>IFERROR(VLOOKUP(BS$6,Hoja1!$F$2:$XFD$61,K39+4,FALSE),0)</f>
        <v>0</v>
      </c>
      <c r="BT39">
        <f>IFERROR(VLOOKUP(BT$6,Hoja1!$F$2:$XFD$61,L39+4,FALSE),0)</f>
        <v>0</v>
      </c>
      <c r="BU39">
        <f>IFERROR(VLOOKUP(BU$6,Hoja1!$F$2:$XFD$61,M39+4,FALSE),0)</f>
        <v>0</v>
      </c>
      <c r="BV39">
        <f>IFERROR(VLOOKUP(BV$6,Hoja1!$F$2:$XFD$61,N39+4,FALSE),0)</f>
        <v>0</v>
      </c>
      <c r="BW39">
        <f>IFERROR(VLOOKUP(BW$6,Hoja1!$F$2:$XFD$61,O39+4,FALSE),0)</f>
        <v>0</v>
      </c>
      <c r="BX39">
        <f>IFERROR(VLOOKUP(BX$6,Hoja1!$F$2:$XFD$61,P39+4,FALSE),0)</f>
        <v>0</v>
      </c>
      <c r="BY39">
        <f>IFERROR(VLOOKUP(BY$6,Hoja1!$F$2:$XFD$61,Q39+4,FALSE),0)</f>
        <v>0</v>
      </c>
      <c r="BZ39">
        <f>IFERROR(VLOOKUP(BZ$6,Hoja1!$F$2:$XFD$61,R39+4,FALSE),0)</f>
        <v>0</v>
      </c>
      <c r="CA39">
        <f>IFERROR(VLOOKUP(CA$6,Hoja1!$F$2:$XFD$61,S39+4,FALSE),0)</f>
        <v>0</v>
      </c>
      <c r="CB39">
        <f>IFERROR(VLOOKUP(CB$6,Hoja1!$F$2:$XFD$61,T39+4,FALSE),0)</f>
        <v>0</v>
      </c>
      <c r="CC39">
        <f>IFERROR(VLOOKUP(CC$6,Hoja1!$F$2:$XFD$61,U39+4,FALSE),0)</f>
        <v>0</v>
      </c>
      <c r="CD39">
        <f>IFERROR(VLOOKUP(CD$6,Hoja1!$F$2:$XFD$61,V39+4,FALSE),0)</f>
        <v>0</v>
      </c>
      <c r="CE39">
        <f>IFERROR(VLOOKUP(CE$6,Hoja1!$F$2:$XFD$61,W39+4,FALSE),0)</f>
        <v>0</v>
      </c>
      <c r="CF39">
        <f>IFERROR(VLOOKUP(CF$6,Hoja1!$F$2:$XFD$61,X39+4,FALSE),0)</f>
        <v>0</v>
      </c>
      <c r="CG39">
        <f>IFERROR(VLOOKUP(CG$6,Hoja1!$F$2:$XFD$61,Y39+4,FALSE),0)</f>
        <v>0</v>
      </c>
      <c r="CH39">
        <f>IFERROR(VLOOKUP(CH$6,Hoja1!$F$2:$XFD$61,Z39+4,FALSE),0)</f>
        <v>0</v>
      </c>
      <c r="CI39">
        <f>IFERROR(VLOOKUP(CI$6,Hoja1!$F$2:$XFD$61,AA39+4,FALSE),0)</f>
        <v>0</v>
      </c>
      <c r="CJ39">
        <f>IFERROR(VLOOKUP(CJ$6,Hoja1!$F$2:$XFD$61,AB39+4,FALSE),0)</f>
        <v>0</v>
      </c>
      <c r="CK39">
        <f>IFERROR(VLOOKUP(CK$6,Hoja1!$F$2:$XFD$61,AC39+4,FALSE),0)</f>
        <v>0</v>
      </c>
      <c r="CL39">
        <f>IFERROR(VLOOKUP(CL$6,Hoja1!$F$2:$XFD$61,AD39+4,FALSE),0)</f>
        <v>0</v>
      </c>
      <c r="CM39">
        <f>IFERROR(VLOOKUP(CM$6,Hoja1!$F$2:$XFD$61,AE39+4,FALSE),0)</f>
        <v>0</v>
      </c>
      <c r="CN39">
        <f>IFERROR(VLOOKUP(CN$6,Hoja1!$F$2:$XFD$61,AF39+4,FALSE),0)</f>
        <v>0</v>
      </c>
      <c r="CO39">
        <f>IFERROR(VLOOKUP(CO$6,Hoja1!$F$2:$XFD$61,AG39+4,FALSE),0)</f>
        <v>0</v>
      </c>
      <c r="CP39">
        <f>IFERROR(VLOOKUP(CP$6,Hoja1!$F$2:$XFD$61,AH39+4,FALSE),0)</f>
        <v>0</v>
      </c>
      <c r="CQ39">
        <f>IFERROR(VLOOKUP(CQ$6,Hoja1!$F$2:$XFD$61,AI39+4,FALSE),0)</f>
        <v>0</v>
      </c>
      <c r="CR39">
        <f>IFERROR(VLOOKUP(CR$6,Hoja1!$F$2:$XFD$61,AJ39+4,FALSE),0)</f>
        <v>0</v>
      </c>
      <c r="CS39">
        <f>IFERROR(VLOOKUP(CS$6,Hoja1!$F$2:$XFD$61,AK39+4,FALSE),0)</f>
        <v>0</v>
      </c>
      <c r="CT39">
        <f>IFERROR(VLOOKUP(CT$6,Hoja1!$F$2:$XFD$61,AL39+4,FALSE),0)</f>
        <v>0</v>
      </c>
      <c r="CU39">
        <f>IFERROR(VLOOKUP(CU$6,Hoja1!$F$2:$XFD$61,AM39+4,FALSE),0)</f>
        <v>0</v>
      </c>
      <c r="CV39">
        <f>IFERROR(VLOOKUP(CV$6,Hoja1!$F$2:$XFD$61,AN39+4,FALSE),0)</f>
        <v>0</v>
      </c>
      <c r="CW39">
        <f>IFERROR(VLOOKUP(CW$6,Hoja1!$F$2:$XFD$61,AO39+4,FALSE),0)</f>
        <v>0</v>
      </c>
      <c r="CX39">
        <f>IFERROR(VLOOKUP(CX$6,Hoja1!$F$2:$XFD$61,AP39+4,FALSE),0)</f>
        <v>0</v>
      </c>
      <c r="CY39">
        <f>IFERROR(VLOOKUP(CY$6,Hoja1!$F$2:$XFD$61,AQ39+4,FALSE),0)</f>
        <v>0</v>
      </c>
      <c r="CZ39">
        <f>IFERROR(VLOOKUP(CZ$6,Hoja1!$F$2:$XFD$61,AR39+4,FALSE),0)</f>
        <v>0</v>
      </c>
      <c r="DA39">
        <f>IFERROR(VLOOKUP(DA$6,Hoja1!$F$2:$XFD$61,AS39+4,FALSE),0)</f>
        <v>0</v>
      </c>
      <c r="DB39">
        <f>IFERROR(VLOOKUP(DB$6,Hoja1!$F$2:$XFD$61,AT39+4,FALSE),0)</f>
        <v>0</v>
      </c>
      <c r="DC39">
        <f>IFERROR(VLOOKUP(DC$6,Hoja1!$F$2:$XFD$61,AU39+4,FALSE),0)</f>
        <v>0</v>
      </c>
      <c r="DD39">
        <f>IFERROR(VLOOKUP(DD$6,Hoja1!$F$2:$XFD$61,AV39+4,FALSE),0)</f>
        <v>0</v>
      </c>
      <c r="DE39">
        <f>IFERROR(VLOOKUP(DE$6,Hoja1!$F$2:$XFD$61,AW39+4,FALSE),0)</f>
        <v>0</v>
      </c>
      <c r="DF39">
        <f>IFERROR(VLOOKUP(DF$6,Hoja1!$F$2:$XFD$61,AX39+4,FALSE),0)</f>
        <v>0</v>
      </c>
      <c r="DG39">
        <f>IFERROR(VLOOKUP(DG$6,Hoja1!$F$2:$XFD$61,AY39+4,FALSE),0)</f>
        <v>0</v>
      </c>
      <c r="DH39">
        <f>IFERROR(VLOOKUP(DH$6,Hoja1!$F$2:$XFD$61,AZ39+4,FALSE),0)</f>
        <v>0</v>
      </c>
      <c r="DI39">
        <f>IFERROR(VLOOKUP(DI$6,Hoja1!$F$2:$XFD$61,BA39+4,FALSE),0)</f>
        <v>0</v>
      </c>
      <c r="DJ39">
        <f>IFERROR(VLOOKUP(DJ$6,Hoja1!$F$2:$XFD$61,BB39+4,FALSE),0)</f>
        <v>0</v>
      </c>
      <c r="DK39">
        <f>IFERROR(VLOOKUP(DK$6,Hoja1!$F$2:$XFD$61,BC39+4,FALSE),0)</f>
        <v>0</v>
      </c>
      <c r="DL39">
        <f>IFERROR(VLOOKUP(DL$6,Hoja1!$F$2:$XFD$61,BD39+4,FALSE),0)</f>
        <v>0</v>
      </c>
      <c r="DM39">
        <f>IFERROR(VLOOKUP(DM$6,Hoja1!$F$2:$XFD$61,BE39+4,FALSE),0)</f>
        <v>0</v>
      </c>
      <c r="DN39">
        <f>IFERROR(VLOOKUP(DN$6,Hoja1!$F$2:$XFD$61,BF39+4,FALSE),0)</f>
        <v>0</v>
      </c>
      <c r="DO39">
        <f>IFERROR(VLOOKUP(DO$6,Hoja1!$F$2:$XFD$61,BG39+4,FALSE),0)</f>
        <v>0</v>
      </c>
      <c r="DP39">
        <f>IFERROR(VLOOKUP(DP$6,Hoja1!$F$2:$XFD$61,BH39+4,FALSE),0)</f>
        <v>0</v>
      </c>
      <c r="DQ39">
        <f>IFERROR(VLOOKUP(DQ$6,Hoja1!$F$2:$XFD$61,BI39+4,FALSE),0)</f>
        <v>0</v>
      </c>
      <c r="DR39">
        <f>IFERROR(VLOOKUP(DR$6,Hoja1!$F$2:$XFD$61,BJ39+4,FALSE),0)</f>
        <v>0</v>
      </c>
      <c r="DS39">
        <f>IFERROR(VLOOKUP(DS$6,Hoja1!$F$2:$XFD$61,BK39+4,FALSE),0)</f>
        <v>0</v>
      </c>
      <c r="DT39">
        <f>IFERROR(VLOOKUP(DT$6,Hoja1!$F$2:$XFD$61,BL39+4,FALSE),0)</f>
        <v>0</v>
      </c>
      <c r="DU39" s="15" t="str">
        <f t="shared" si="0"/>
        <v/>
      </c>
      <c r="DV39" s="16" t="str">
        <f>IF(D39&lt;&gt;"",IF(DU39="","",IF(DU39&gt;=$DU$7*Hoja1!$E$2,4+3/($DU$7*(1-Hoja1!$E$2))*(DU39-$DU$7*Hoja1!$E$2),1+3/($DU$7*Hoja1!$E$2)*DU39)),DU39)</f>
        <v/>
      </c>
      <c r="DW39" s="47" t="b">
        <v>0</v>
      </c>
    </row>
    <row r="40" spans="1:127" ht="23.25" customHeight="1" x14ac:dyDescent="0.25">
      <c r="A40" s="17">
        <v>31</v>
      </c>
      <c r="B40" s="18"/>
      <c r="C40" s="18"/>
      <c r="D40" s="1"/>
      <c r="E40" s="28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  <c r="BI40" s="19"/>
      <c r="BJ40" s="19"/>
      <c r="BK40" s="19"/>
      <c r="BL40" s="29"/>
      <c r="BM40">
        <f>IFERROR(VLOOKUP(BM$6,Hoja1!$F$2:$XFD$61,E40+4,FALSE),0)</f>
        <v>0</v>
      </c>
      <c r="BN40">
        <f>IFERROR(VLOOKUP(BN$6,Hoja1!$F$2:$XFD$61,F40+4,FALSE),0)</f>
        <v>0</v>
      </c>
      <c r="BO40">
        <f>IFERROR(VLOOKUP(BO$6,Hoja1!$F$2:$XFD$61,G40+4,FALSE),0)</f>
        <v>0</v>
      </c>
      <c r="BP40">
        <f>IFERROR(VLOOKUP(BP$6,Hoja1!$F$2:$XFD$61,H40+4,FALSE),0)</f>
        <v>0</v>
      </c>
      <c r="BQ40">
        <f>IFERROR(VLOOKUP(BQ$6,Hoja1!$F$2:$XFD$61,I40+4,FALSE),0)</f>
        <v>0</v>
      </c>
      <c r="BR40">
        <f>IFERROR(VLOOKUP(BR$6,Hoja1!$F$2:$XFD$61,J40+4,FALSE),0)</f>
        <v>0</v>
      </c>
      <c r="BS40">
        <f>IFERROR(VLOOKUP(BS$6,Hoja1!$F$2:$XFD$61,K40+4,FALSE),0)</f>
        <v>0</v>
      </c>
      <c r="BT40">
        <f>IFERROR(VLOOKUP(BT$6,Hoja1!$F$2:$XFD$61,L40+4,FALSE),0)</f>
        <v>0</v>
      </c>
      <c r="BU40">
        <f>IFERROR(VLOOKUP(BU$6,Hoja1!$F$2:$XFD$61,M40+4,FALSE),0)</f>
        <v>0</v>
      </c>
      <c r="BV40">
        <f>IFERROR(VLOOKUP(BV$6,Hoja1!$F$2:$XFD$61,N40+4,FALSE),0)</f>
        <v>0</v>
      </c>
      <c r="BW40">
        <f>IFERROR(VLOOKUP(BW$6,Hoja1!$F$2:$XFD$61,O40+4,FALSE),0)</f>
        <v>0</v>
      </c>
      <c r="BX40">
        <f>IFERROR(VLOOKUP(BX$6,Hoja1!$F$2:$XFD$61,P40+4,FALSE),0)</f>
        <v>0</v>
      </c>
      <c r="BY40">
        <f>IFERROR(VLOOKUP(BY$6,Hoja1!$F$2:$XFD$61,Q40+4,FALSE),0)</f>
        <v>0</v>
      </c>
      <c r="BZ40">
        <f>IFERROR(VLOOKUP(BZ$6,Hoja1!$F$2:$XFD$61,R40+4,FALSE),0)</f>
        <v>0</v>
      </c>
      <c r="CA40">
        <f>IFERROR(VLOOKUP(CA$6,Hoja1!$F$2:$XFD$61,S40+4,FALSE),0)</f>
        <v>0</v>
      </c>
      <c r="CB40">
        <f>IFERROR(VLOOKUP(CB$6,Hoja1!$F$2:$XFD$61,T40+4,FALSE),0)</f>
        <v>0</v>
      </c>
      <c r="CC40">
        <f>IFERROR(VLOOKUP(CC$6,Hoja1!$F$2:$XFD$61,U40+4,FALSE),0)</f>
        <v>0</v>
      </c>
      <c r="CD40">
        <f>IFERROR(VLOOKUP(CD$6,Hoja1!$F$2:$XFD$61,V40+4,FALSE),0)</f>
        <v>0</v>
      </c>
      <c r="CE40">
        <f>IFERROR(VLOOKUP(CE$6,Hoja1!$F$2:$XFD$61,W40+4,FALSE),0)</f>
        <v>0</v>
      </c>
      <c r="CF40">
        <f>IFERROR(VLOOKUP(CF$6,Hoja1!$F$2:$XFD$61,X40+4,FALSE),0)</f>
        <v>0</v>
      </c>
      <c r="CG40">
        <f>IFERROR(VLOOKUP(CG$6,Hoja1!$F$2:$XFD$61,Y40+4,FALSE),0)</f>
        <v>0</v>
      </c>
      <c r="CH40">
        <f>IFERROR(VLOOKUP(CH$6,Hoja1!$F$2:$XFD$61,Z40+4,FALSE),0)</f>
        <v>0</v>
      </c>
      <c r="CI40">
        <f>IFERROR(VLOOKUP(CI$6,Hoja1!$F$2:$XFD$61,AA40+4,FALSE),0)</f>
        <v>0</v>
      </c>
      <c r="CJ40">
        <f>IFERROR(VLOOKUP(CJ$6,Hoja1!$F$2:$XFD$61,AB40+4,FALSE),0)</f>
        <v>0</v>
      </c>
      <c r="CK40">
        <f>IFERROR(VLOOKUP(CK$6,Hoja1!$F$2:$XFD$61,AC40+4,FALSE),0)</f>
        <v>0</v>
      </c>
      <c r="CL40">
        <f>IFERROR(VLOOKUP(CL$6,Hoja1!$F$2:$XFD$61,AD40+4,FALSE),0)</f>
        <v>0</v>
      </c>
      <c r="CM40">
        <f>IFERROR(VLOOKUP(CM$6,Hoja1!$F$2:$XFD$61,AE40+4,FALSE),0)</f>
        <v>0</v>
      </c>
      <c r="CN40">
        <f>IFERROR(VLOOKUP(CN$6,Hoja1!$F$2:$XFD$61,AF40+4,FALSE),0)</f>
        <v>0</v>
      </c>
      <c r="CO40">
        <f>IFERROR(VLOOKUP(CO$6,Hoja1!$F$2:$XFD$61,AG40+4,FALSE),0)</f>
        <v>0</v>
      </c>
      <c r="CP40">
        <f>IFERROR(VLOOKUP(CP$6,Hoja1!$F$2:$XFD$61,AH40+4,FALSE),0)</f>
        <v>0</v>
      </c>
      <c r="CQ40">
        <f>IFERROR(VLOOKUP(CQ$6,Hoja1!$F$2:$XFD$61,AI40+4,FALSE),0)</f>
        <v>0</v>
      </c>
      <c r="CR40">
        <f>IFERROR(VLOOKUP(CR$6,Hoja1!$F$2:$XFD$61,AJ40+4,FALSE),0)</f>
        <v>0</v>
      </c>
      <c r="CS40">
        <f>IFERROR(VLOOKUP(CS$6,Hoja1!$F$2:$XFD$61,AK40+4,FALSE),0)</f>
        <v>0</v>
      </c>
      <c r="CT40">
        <f>IFERROR(VLOOKUP(CT$6,Hoja1!$F$2:$XFD$61,AL40+4,FALSE),0)</f>
        <v>0</v>
      </c>
      <c r="CU40">
        <f>IFERROR(VLOOKUP(CU$6,Hoja1!$F$2:$XFD$61,AM40+4,FALSE),0)</f>
        <v>0</v>
      </c>
      <c r="CV40">
        <f>IFERROR(VLOOKUP(CV$6,Hoja1!$F$2:$XFD$61,AN40+4,FALSE),0)</f>
        <v>0</v>
      </c>
      <c r="CW40">
        <f>IFERROR(VLOOKUP(CW$6,Hoja1!$F$2:$XFD$61,AO40+4,FALSE),0)</f>
        <v>0</v>
      </c>
      <c r="CX40">
        <f>IFERROR(VLOOKUP(CX$6,Hoja1!$F$2:$XFD$61,AP40+4,FALSE),0)</f>
        <v>0</v>
      </c>
      <c r="CY40">
        <f>IFERROR(VLOOKUP(CY$6,Hoja1!$F$2:$XFD$61,AQ40+4,FALSE),0)</f>
        <v>0</v>
      </c>
      <c r="CZ40">
        <f>IFERROR(VLOOKUP(CZ$6,Hoja1!$F$2:$XFD$61,AR40+4,FALSE),0)</f>
        <v>0</v>
      </c>
      <c r="DA40">
        <f>IFERROR(VLOOKUP(DA$6,Hoja1!$F$2:$XFD$61,AS40+4,FALSE),0)</f>
        <v>0</v>
      </c>
      <c r="DB40">
        <f>IFERROR(VLOOKUP(DB$6,Hoja1!$F$2:$XFD$61,AT40+4,FALSE),0)</f>
        <v>0</v>
      </c>
      <c r="DC40">
        <f>IFERROR(VLOOKUP(DC$6,Hoja1!$F$2:$XFD$61,AU40+4,FALSE),0)</f>
        <v>0</v>
      </c>
      <c r="DD40">
        <f>IFERROR(VLOOKUP(DD$6,Hoja1!$F$2:$XFD$61,AV40+4,FALSE),0)</f>
        <v>0</v>
      </c>
      <c r="DE40">
        <f>IFERROR(VLOOKUP(DE$6,Hoja1!$F$2:$XFD$61,AW40+4,FALSE),0)</f>
        <v>0</v>
      </c>
      <c r="DF40">
        <f>IFERROR(VLOOKUP(DF$6,Hoja1!$F$2:$XFD$61,AX40+4,FALSE),0)</f>
        <v>0</v>
      </c>
      <c r="DG40">
        <f>IFERROR(VLOOKUP(DG$6,Hoja1!$F$2:$XFD$61,AY40+4,FALSE),0)</f>
        <v>0</v>
      </c>
      <c r="DH40">
        <f>IFERROR(VLOOKUP(DH$6,Hoja1!$F$2:$XFD$61,AZ40+4,FALSE),0)</f>
        <v>0</v>
      </c>
      <c r="DI40">
        <f>IFERROR(VLOOKUP(DI$6,Hoja1!$F$2:$XFD$61,BA40+4,FALSE),0)</f>
        <v>0</v>
      </c>
      <c r="DJ40">
        <f>IFERROR(VLOOKUP(DJ$6,Hoja1!$F$2:$XFD$61,BB40+4,FALSE),0)</f>
        <v>0</v>
      </c>
      <c r="DK40">
        <f>IFERROR(VLOOKUP(DK$6,Hoja1!$F$2:$XFD$61,BC40+4,FALSE),0)</f>
        <v>0</v>
      </c>
      <c r="DL40">
        <f>IFERROR(VLOOKUP(DL$6,Hoja1!$F$2:$XFD$61,BD40+4,FALSE),0)</f>
        <v>0</v>
      </c>
      <c r="DM40">
        <f>IFERROR(VLOOKUP(DM$6,Hoja1!$F$2:$XFD$61,BE40+4,FALSE),0)</f>
        <v>0</v>
      </c>
      <c r="DN40">
        <f>IFERROR(VLOOKUP(DN$6,Hoja1!$F$2:$XFD$61,BF40+4,FALSE),0)</f>
        <v>0</v>
      </c>
      <c r="DO40">
        <f>IFERROR(VLOOKUP(DO$6,Hoja1!$F$2:$XFD$61,BG40+4,FALSE),0)</f>
        <v>0</v>
      </c>
      <c r="DP40">
        <f>IFERROR(VLOOKUP(DP$6,Hoja1!$F$2:$XFD$61,BH40+4,FALSE),0)</f>
        <v>0</v>
      </c>
      <c r="DQ40">
        <f>IFERROR(VLOOKUP(DQ$6,Hoja1!$F$2:$XFD$61,BI40+4,FALSE),0)</f>
        <v>0</v>
      </c>
      <c r="DR40">
        <f>IFERROR(VLOOKUP(DR$6,Hoja1!$F$2:$XFD$61,BJ40+4,FALSE),0)</f>
        <v>0</v>
      </c>
      <c r="DS40">
        <f>IFERROR(VLOOKUP(DS$6,Hoja1!$F$2:$XFD$61,BK40+4,FALSE),0)</f>
        <v>0</v>
      </c>
      <c r="DT40">
        <f>IFERROR(VLOOKUP(DT$6,Hoja1!$F$2:$XFD$61,BL40+4,FALSE),0)</f>
        <v>0</v>
      </c>
      <c r="DU40" s="15" t="str">
        <f t="shared" si="0"/>
        <v/>
      </c>
      <c r="DV40" s="16" t="str">
        <f>IF(D40&lt;&gt;"",IF(DU40="","",IF(DU40&gt;=$DU$7*Hoja1!$E$2,4+3/($DU$7*(1-Hoja1!$E$2))*(DU40-$DU$7*Hoja1!$E$2),1+3/($DU$7*Hoja1!$E$2)*DU40)),DU40)</f>
        <v/>
      </c>
      <c r="DW40" s="47" t="b">
        <v>0</v>
      </c>
    </row>
    <row r="41" spans="1:127" ht="23.25" customHeight="1" x14ac:dyDescent="0.25">
      <c r="A41" s="17">
        <v>32</v>
      </c>
      <c r="B41" s="18"/>
      <c r="C41" s="18"/>
      <c r="D41" s="1"/>
      <c r="E41" s="28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19"/>
      <c r="BI41" s="19"/>
      <c r="BJ41" s="19"/>
      <c r="BK41" s="19"/>
      <c r="BL41" s="29"/>
      <c r="BM41">
        <f>IFERROR(VLOOKUP(BM$6,Hoja1!$F$2:$XFD$61,E41+4,FALSE),0)</f>
        <v>0</v>
      </c>
      <c r="BN41">
        <f>IFERROR(VLOOKUP(BN$6,Hoja1!$F$2:$XFD$61,F41+4,FALSE),0)</f>
        <v>0</v>
      </c>
      <c r="BO41">
        <f>IFERROR(VLOOKUP(BO$6,Hoja1!$F$2:$XFD$61,G41+4,FALSE),0)</f>
        <v>0</v>
      </c>
      <c r="BP41">
        <f>IFERROR(VLOOKUP(BP$6,Hoja1!$F$2:$XFD$61,H41+4,FALSE),0)</f>
        <v>0</v>
      </c>
      <c r="BQ41">
        <f>IFERROR(VLOOKUP(BQ$6,Hoja1!$F$2:$XFD$61,I41+4,FALSE),0)</f>
        <v>0</v>
      </c>
      <c r="BR41">
        <f>IFERROR(VLOOKUP(BR$6,Hoja1!$F$2:$XFD$61,J41+4,FALSE),0)</f>
        <v>0</v>
      </c>
      <c r="BS41">
        <f>IFERROR(VLOOKUP(BS$6,Hoja1!$F$2:$XFD$61,K41+4,FALSE),0)</f>
        <v>0</v>
      </c>
      <c r="BT41">
        <f>IFERROR(VLOOKUP(BT$6,Hoja1!$F$2:$XFD$61,L41+4,FALSE),0)</f>
        <v>0</v>
      </c>
      <c r="BU41">
        <f>IFERROR(VLOOKUP(BU$6,Hoja1!$F$2:$XFD$61,M41+4,FALSE),0)</f>
        <v>0</v>
      </c>
      <c r="BV41">
        <f>IFERROR(VLOOKUP(BV$6,Hoja1!$F$2:$XFD$61,N41+4,FALSE),0)</f>
        <v>0</v>
      </c>
      <c r="BW41">
        <f>IFERROR(VLOOKUP(BW$6,Hoja1!$F$2:$XFD$61,O41+4,FALSE),0)</f>
        <v>0</v>
      </c>
      <c r="BX41">
        <f>IFERROR(VLOOKUP(BX$6,Hoja1!$F$2:$XFD$61,P41+4,FALSE),0)</f>
        <v>0</v>
      </c>
      <c r="BY41">
        <f>IFERROR(VLOOKUP(BY$6,Hoja1!$F$2:$XFD$61,Q41+4,FALSE),0)</f>
        <v>0</v>
      </c>
      <c r="BZ41">
        <f>IFERROR(VLOOKUP(BZ$6,Hoja1!$F$2:$XFD$61,R41+4,FALSE),0)</f>
        <v>0</v>
      </c>
      <c r="CA41">
        <f>IFERROR(VLOOKUP(CA$6,Hoja1!$F$2:$XFD$61,S41+4,FALSE),0)</f>
        <v>0</v>
      </c>
      <c r="CB41">
        <f>IFERROR(VLOOKUP(CB$6,Hoja1!$F$2:$XFD$61,T41+4,FALSE),0)</f>
        <v>0</v>
      </c>
      <c r="CC41">
        <f>IFERROR(VLOOKUP(CC$6,Hoja1!$F$2:$XFD$61,U41+4,FALSE),0)</f>
        <v>0</v>
      </c>
      <c r="CD41">
        <f>IFERROR(VLOOKUP(CD$6,Hoja1!$F$2:$XFD$61,V41+4,FALSE),0)</f>
        <v>0</v>
      </c>
      <c r="CE41">
        <f>IFERROR(VLOOKUP(CE$6,Hoja1!$F$2:$XFD$61,W41+4,FALSE),0)</f>
        <v>0</v>
      </c>
      <c r="CF41">
        <f>IFERROR(VLOOKUP(CF$6,Hoja1!$F$2:$XFD$61,X41+4,FALSE),0)</f>
        <v>0</v>
      </c>
      <c r="CG41">
        <f>IFERROR(VLOOKUP(CG$6,Hoja1!$F$2:$XFD$61,Y41+4,FALSE),0)</f>
        <v>0</v>
      </c>
      <c r="CH41">
        <f>IFERROR(VLOOKUP(CH$6,Hoja1!$F$2:$XFD$61,Z41+4,FALSE),0)</f>
        <v>0</v>
      </c>
      <c r="CI41">
        <f>IFERROR(VLOOKUP(CI$6,Hoja1!$F$2:$XFD$61,AA41+4,FALSE),0)</f>
        <v>0</v>
      </c>
      <c r="CJ41">
        <f>IFERROR(VLOOKUP(CJ$6,Hoja1!$F$2:$XFD$61,AB41+4,FALSE),0)</f>
        <v>0</v>
      </c>
      <c r="CK41">
        <f>IFERROR(VLOOKUP(CK$6,Hoja1!$F$2:$XFD$61,AC41+4,FALSE),0)</f>
        <v>0</v>
      </c>
      <c r="CL41">
        <f>IFERROR(VLOOKUP(CL$6,Hoja1!$F$2:$XFD$61,AD41+4,FALSE),0)</f>
        <v>0</v>
      </c>
      <c r="CM41">
        <f>IFERROR(VLOOKUP(CM$6,Hoja1!$F$2:$XFD$61,AE41+4,FALSE),0)</f>
        <v>0</v>
      </c>
      <c r="CN41">
        <f>IFERROR(VLOOKUP(CN$6,Hoja1!$F$2:$XFD$61,AF41+4,FALSE),0)</f>
        <v>0</v>
      </c>
      <c r="CO41">
        <f>IFERROR(VLOOKUP(CO$6,Hoja1!$F$2:$XFD$61,AG41+4,FALSE),0)</f>
        <v>0</v>
      </c>
      <c r="CP41">
        <f>IFERROR(VLOOKUP(CP$6,Hoja1!$F$2:$XFD$61,AH41+4,FALSE),0)</f>
        <v>0</v>
      </c>
      <c r="CQ41">
        <f>IFERROR(VLOOKUP(CQ$6,Hoja1!$F$2:$XFD$61,AI41+4,FALSE),0)</f>
        <v>0</v>
      </c>
      <c r="CR41">
        <f>IFERROR(VLOOKUP(CR$6,Hoja1!$F$2:$XFD$61,AJ41+4,FALSE),0)</f>
        <v>0</v>
      </c>
      <c r="CS41">
        <f>IFERROR(VLOOKUP(CS$6,Hoja1!$F$2:$XFD$61,AK41+4,FALSE),0)</f>
        <v>0</v>
      </c>
      <c r="CT41">
        <f>IFERROR(VLOOKUP(CT$6,Hoja1!$F$2:$XFD$61,AL41+4,FALSE),0)</f>
        <v>0</v>
      </c>
      <c r="CU41">
        <f>IFERROR(VLOOKUP(CU$6,Hoja1!$F$2:$XFD$61,AM41+4,FALSE),0)</f>
        <v>0</v>
      </c>
      <c r="CV41">
        <f>IFERROR(VLOOKUP(CV$6,Hoja1!$F$2:$XFD$61,AN41+4,FALSE),0)</f>
        <v>0</v>
      </c>
      <c r="CW41">
        <f>IFERROR(VLOOKUP(CW$6,Hoja1!$F$2:$XFD$61,AO41+4,FALSE),0)</f>
        <v>0</v>
      </c>
      <c r="CX41">
        <f>IFERROR(VLOOKUP(CX$6,Hoja1!$F$2:$XFD$61,AP41+4,FALSE),0)</f>
        <v>0</v>
      </c>
      <c r="CY41">
        <f>IFERROR(VLOOKUP(CY$6,Hoja1!$F$2:$XFD$61,AQ41+4,FALSE),0)</f>
        <v>0</v>
      </c>
      <c r="CZ41">
        <f>IFERROR(VLOOKUP(CZ$6,Hoja1!$F$2:$XFD$61,AR41+4,FALSE),0)</f>
        <v>0</v>
      </c>
      <c r="DA41">
        <f>IFERROR(VLOOKUP(DA$6,Hoja1!$F$2:$XFD$61,AS41+4,FALSE),0)</f>
        <v>0</v>
      </c>
      <c r="DB41">
        <f>IFERROR(VLOOKUP(DB$6,Hoja1!$F$2:$XFD$61,AT41+4,FALSE),0)</f>
        <v>0</v>
      </c>
      <c r="DC41">
        <f>IFERROR(VLOOKUP(DC$6,Hoja1!$F$2:$XFD$61,AU41+4,FALSE),0)</f>
        <v>0</v>
      </c>
      <c r="DD41">
        <f>IFERROR(VLOOKUP(DD$6,Hoja1!$F$2:$XFD$61,AV41+4,FALSE),0)</f>
        <v>0</v>
      </c>
      <c r="DE41">
        <f>IFERROR(VLOOKUP(DE$6,Hoja1!$F$2:$XFD$61,AW41+4,FALSE),0)</f>
        <v>0</v>
      </c>
      <c r="DF41">
        <f>IFERROR(VLOOKUP(DF$6,Hoja1!$F$2:$XFD$61,AX41+4,FALSE),0)</f>
        <v>0</v>
      </c>
      <c r="DG41">
        <f>IFERROR(VLOOKUP(DG$6,Hoja1!$F$2:$XFD$61,AY41+4,FALSE),0)</f>
        <v>0</v>
      </c>
      <c r="DH41">
        <f>IFERROR(VLOOKUP(DH$6,Hoja1!$F$2:$XFD$61,AZ41+4,FALSE),0)</f>
        <v>0</v>
      </c>
      <c r="DI41">
        <f>IFERROR(VLOOKUP(DI$6,Hoja1!$F$2:$XFD$61,BA41+4,FALSE),0)</f>
        <v>0</v>
      </c>
      <c r="DJ41">
        <f>IFERROR(VLOOKUP(DJ$6,Hoja1!$F$2:$XFD$61,BB41+4,FALSE),0)</f>
        <v>0</v>
      </c>
      <c r="DK41">
        <f>IFERROR(VLOOKUP(DK$6,Hoja1!$F$2:$XFD$61,BC41+4,FALSE),0)</f>
        <v>0</v>
      </c>
      <c r="DL41">
        <f>IFERROR(VLOOKUP(DL$6,Hoja1!$F$2:$XFD$61,BD41+4,FALSE),0)</f>
        <v>0</v>
      </c>
      <c r="DM41">
        <f>IFERROR(VLOOKUP(DM$6,Hoja1!$F$2:$XFD$61,BE41+4,FALSE),0)</f>
        <v>0</v>
      </c>
      <c r="DN41">
        <f>IFERROR(VLOOKUP(DN$6,Hoja1!$F$2:$XFD$61,BF41+4,FALSE),0)</f>
        <v>0</v>
      </c>
      <c r="DO41">
        <f>IFERROR(VLOOKUP(DO$6,Hoja1!$F$2:$XFD$61,BG41+4,FALSE),0)</f>
        <v>0</v>
      </c>
      <c r="DP41">
        <f>IFERROR(VLOOKUP(DP$6,Hoja1!$F$2:$XFD$61,BH41+4,FALSE),0)</f>
        <v>0</v>
      </c>
      <c r="DQ41">
        <f>IFERROR(VLOOKUP(DQ$6,Hoja1!$F$2:$XFD$61,BI41+4,FALSE),0)</f>
        <v>0</v>
      </c>
      <c r="DR41">
        <f>IFERROR(VLOOKUP(DR$6,Hoja1!$F$2:$XFD$61,BJ41+4,FALSE),0)</f>
        <v>0</v>
      </c>
      <c r="DS41">
        <f>IFERROR(VLOOKUP(DS$6,Hoja1!$F$2:$XFD$61,BK41+4,FALSE),0)</f>
        <v>0</v>
      </c>
      <c r="DT41">
        <f>IFERROR(VLOOKUP(DT$6,Hoja1!$F$2:$XFD$61,BL41+4,FALSE),0)</f>
        <v>0</v>
      </c>
      <c r="DU41" s="15" t="str">
        <f t="shared" si="0"/>
        <v/>
      </c>
      <c r="DV41" s="16" t="str">
        <f>IF(D41&lt;&gt;"",IF(DU41="","",IF(DU41&gt;=$DU$7*Hoja1!$E$2,4+3/($DU$7*(1-Hoja1!$E$2))*(DU41-$DU$7*Hoja1!$E$2),1+3/($DU$7*Hoja1!$E$2)*DU41)),DU41)</f>
        <v/>
      </c>
      <c r="DW41" s="47" t="b">
        <v>0</v>
      </c>
    </row>
    <row r="42" spans="1:127" ht="23.25" customHeight="1" x14ac:dyDescent="0.25">
      <c r="A42" s="17">
        <v>33</v>
      </c>
      <c r="B42" s="18"/>
      <c r="C42" s="18"/>
      <c r="D42" s="1"/>
      <c r="E42" s="28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  <c r="BK42" s="19"/>
      <c r="BL42" s="29"/>
      <c r="BM42">
        <f>IFERROR(VLOOKUP(BM$6,Hoja1!$F$2:$XFD$61,E42+4,FALSE),0)</f>
        <v>0</v>
      </c>
      <c r="BN42">
        <f>IFERROR(VLOOKUP(BN$6,Hoja1!$F$2:$XFD$61,F42+4,FALSE),0)</f>
        <v>0</v>
      </c>
      <c r="BO42">
        <f>IFERROR(VLOOKUP(BO$6,Hoja1!$F$2:$XFD$61,G42+4,FALSE),0)</f>
        <v>0</v>
      </c>
      <c r="BP42">
        <f>IFERROR(VLOOKUP(BP$6,Hoja1!$F$2:$XFD$61,H42+4,FALSE),0)</f>
        <v>0</v>
      </c>
      <c r="BQ42">
        <f>IFERROR(VLOOKUP(BQ$6,Hoja1!$F$2:$XFD$61,I42+4,FALSE),0)</f>
        <v>0</v>
      </c>
      <c r="BR42">
        <f>IFERROR(VLOOKUP(BR$6,Hoja1!$F$2:$XFD$61,J42+4,FALSE),0)</f>
        <v>0</v>
      </c>
      <c r="BS42">
        <f>IFERROR(VLOOKUP(BS$6,Hoja1!$F$2:$XFD$61,K42+4,FALSE),0)</f>
        <v>0</v>
      </c>
      <c r="BT42">
        <f>IFERROR(VLOOKUP(BT$6,Hoja1!$F$2:$XFD$61,L42+4,FALSE),0)</f>
        <v>0</v>
      </c>
      <c r="BU42">
        <f>IFERROR(VLOOKUP(BU$6,Hoja1!$F$2:$XFD$61,M42+4,FALSE),0)</f>
        <v>0</v>
      </c>
      <c r="BV42">
        <f>IFERROR(VLOOKUP(BV$6,Hoja1!$F$2:$XFD$61,N42+4,FALSE),0)</f>
        <v>0</v>
      </c>
      <c r="BW42">
        <f>IFERROR(VLOOKUP(BW$6,Hoja1!$F$2:$XFD$61,O42+4,FALSE),0)</f>
        <v>0</v>
      </c>
      <c r="BX42">
        <f>IFERROR(VLOOKUP(BX$6,Hoja1!$F$2:$XFD$61,P42+4,FALSE),0)</f>
        <v>0</v>
      </c>
      <c r="BY42">
        <f>IFERROR(VLOOKUP(BY$6,Hoja1!$F$2:$XFD$61,Q42+4,FALSE),0)</f>
        <v>0</v>
      </c>
      <c r="BZ42">
        <f>IFERROR(VLOOKUP(BZ$6,Hoja1!$F$2:$XFD$61,R42+4,FALSE),0)</f>
        <v>0</v>
      </c>
      <c r="CA42">
        <f>IFERROR(VLOOKUP(CA$6,Hoja1!$F$2:$XFD$61,S42+4,FALSE),0)</f>
        <v>0</v>
      </c>
      <c r="CB42">
        <f>IFERROR(VLOOKUP(CB$6,Hoja1!$F$2:$XFD$61,T42+4,FALSE),0)</f>
        <v>0</v>
      </c>
      <c r="CC42">
        <f>IFERROR(VLOOKUP(CC$6,Hoja1!$F$2:$XFD$61,U42+4,FALSE),0)</f>
        <v>0</v>
      </c>
      <c r="CD42">
        <f>IFERROR(VLOOKUP(CD$6,Hoja1!$F$2:$XFD$61,V42+4,FALSE),0)</f>
        <v>0</v>
      </c>
      <c r="CE42">
        <f>IFERROR(VLOOKUP(CE$6,Hoja1!$F$2:$XFD$61,W42+4,FALSE),0)</f>
        <v>0</v>
      </c>
      <c r="CF42">
        <f>IFERROR(VLOOKUP(CF$6,Hoja1!$F$2:$XFD$61,X42+4,FALSE),0)</f>
        <v>0</v>
      </c>
      <c r="CG42">
        <f>IFERROR(VLOOKUP(CG$6,Hoja1!$F$2:$XFD$61,Y42+4,FALSE),0)</f>
        <v>0</v>
      </c>
      <c r="CH42">
        <f>IFERROR(VLOOKUP(CH$6,Hoja1!$F$2:$XFD$61,Z42+4,FALSE),0)</f>
        <v>0</v>
      </c>
      <c r="CI42">
        <f>IFERROR(VLOOKUP(CI$6,Hoja1!$F$2:$XFD$61,AA42+4,FALSE),0)</f>
        <v>0</v>
      </c>
      <c r="CJ42">
        <f>IFERROR(VLOOKUP(CJ$6,Hoja1!$F$2:$XFD$61,AB42+4,FALSE),0)</f>
        <v>0</v>
      </c>
      <c r="CK42">
        <f>IFERROR(VLOOKUP(CK$6,Hoja1!$F$2:$XFD$61,AC42+4,FALSE),0)</f>
        <v>0</v>
      </c>
      <c r="CL42">
        <f>IFERROR(VLOOKUP(CL$6,Hoja1!$F$2:$XFD$61,AD42+4,FALSE),0)</f>
        <v>0</v>
      </c>
      <c r="CM42">
        <f>IFERROR(VLOOKUP(CM$6,Hoja1!$F$2:$XFD$61,AE42+4,FALSE),0)</f>
        <v>0</v>
      </c>
      <c r="CN42">
        <f>IFERROR(VLOOKUP(CN$6,Hoja1!$F$2:$XFD$61,AF42+4,FALSE),0)</f>
        <v>0</v>
      </c>
      <c r="CO42">
        <f>IFERROR(VLOOKUP(CO$6,Hoja1!$F$2:$XFD$61,AG42+4,FALSE),0)</f>
        <v>0</v>
      </c>
      <c r="CP42">
        <f>IFERROR(VLOOKUP(CP$6,Hoja1!$F$2:$XFD$61,AH42+4,FALSE),0)</f>
        <v>0</v>
      </c>
      <c r="CQ42">
        <f>IFERROR(VLOOKUP(CQ$6,Hoja1!$F$2:$XFD$61,AI42+4,FALSE),0)</f>
        <v>0</v>
      </c>
      <c r="CR42">
        <f>IFERROR(VLOOKUP(CR$6,Hoja1!$F$2:$XFD$61,AJ42+4,FALSE),0)</f>
        <v>0</v>
      </c>
      <c r="CS42">
        <f>IFERROR(VLOOKUP(CS$6,Hoja1!$F$2:$XFD$61,AK42+4,FALSE),0)</f>
        <v>0</v>
      </c>
      <c r="CT42">
        <f>IFERROR(VLOOKUP(CT$6,Hoja1!$F$2:$XFD$61,AL42+4,FALSE),0)</f>
        <v>0</v>
      </c>
      <c r="CU42">
        <f>IFERROR(VLOOKUP(CU$6,Hoja1!$F$2:$XFD$61,AM42+4,FALSE),0)</f>
        <v>0</v>
      </c>
      <c r="CV42">
        <f>IFERROR(VLOOKUP(CV$6,Hoja1!$F$2:$XFD$61,AN42+4,FALSE),0)</f>
        <v>0</v>
      </c>
      <c r="CW42">
        <f>IFERROR(VLOOKUP(CW$6,Hoja1!$F$2:$XFD$61,AO42+4,FALSE),0)</f>
        <v>0</v>
      </c>
      <c r="CX42">
        <f>IFERROR(VLOOKUP(CX$6,Hoja1!$F$2:$XFD$61,AP42+4,FALSE),0)</f>
        <v>0</v>
      </c>
      <c r="CY42">
        <f>IFERROR(VLOOKUP(CY$6,Hoja1!$F$2:$XFD$61,AQ42+4,FALSE),0)</f>
        <v>0</v>
      </c>
      <c r="CZ42">
        <f>IFERROR(VLOOKUP(CZ$6,Hoja1!$F$2:$XFD$61,AR42+4,FALSE),0)</f>
        <v>0</v>
      </c>
      <c r="DA42">
        <f>IFERROR(VLOOKUP(DA$6,Hoja1!$F$2:$XFD$61,AS42+4,FALSE),0)</f>
        <v>0</v>
      </c>
      <c r="DB42">
        <f>IFERROR(VLOOKUP(DB$6,Hoja1!$F$2:$XFD$61,AT42+4,FALSE),0)</f>
        <v>0</v>
      </c>
      <c r="DC42">
        <f>IFERROR(VLOOKUP(DC$6,Hoja1!$F$2:$XFD$61,AU42+4,FALSE),0)</f>
        <v>0</v>
      </c>
      <c r="DD42">
        <f>IFERROR(VLOOKUP(DD$6,Hoja1!$F$2:$XFD$61,AV42+4,FALSE),0)</f>
        <v>0</v>
      </c>
      <c r="DE42">
        <f>IFERROR(VLOOKUP(DE$6,Hoja1!$F$2:$XFD$61,AW42+4,FALSE),0)</f>
        <v>0</v>
      </c>
      <c r="DF42">
        <f>IFERROR(VLOOKUP(DF$6,Hoja1!$F$2:$XFD$61,AX42+4,FALSE),0)</f>
        <v>0</v>
      </c>
      <c r="DG42">
        <f>IFERROR(VLOOKUP(DG$6,Hoja1!$F$2:$XFD$61,AY42+4,FALSE),0)</f>
        <v>0</v>
      </c>
      <c r="DH42">
        <f>IFERROR(VLOOKUP(DH$6,Hoja1!$F$2:$XFD$61,AZ42+4,FALSE),0)</f>
        <v>0</v>
      </c>
      <c r="DI42">
        <f>IFERROR(VLOOKUP(DI$6,Hoja1!$F$2:$XFD$61,BA42+4,FALSE),0)</f>
        <v>0</v>
      </c>
      <c r="DJ42">
        <f>IFERROR(VLOOKUP(DJ$6,Hoja1!$F$2:$XFD$61,BB42+4,FALSE),0)</f>
        <v>0</v>
      </c>
      <c r="DK42">
        <f>IFERROR(VLOOKUP(DK$6,Hoja1!$F$2:$XFD$61,BC42+4,FALSE),0)</f>
        <v>0</v>
      </c>
      <c r="DL42">
        <f>IFERROR(VLOOKUP(DL$6,Hoja1!$F$2:$XFD$61,BD42+4,FALSE),0)</f>
        <v>0</v>
      </c>
      <c r="DM42">
        <f>IFERROR(VLOOKUP(DM$6,Hoja1!$F$2:$XFD$61,BE42+4,FALSE),0)</f>
        <v>0</v>
      </c>
      <c r="DN42">
        <f>IFERROR(VLOOKUP(DN$6,Hoja1!$F$2:$XFD$61,BF42+4,FALSE),0)</f>
        <v>0</v>
      </c>
      <c r="DO42">
        <f>IFERROR(VLOOKUP(DO$6,Hoja1!$F$2:$XFD$61,BG42+4,FALSE),0)</f>
        <v>0</v>
      </c>
      <c r="DP42">
        <f>IFERROR(VLOOKUP(DP$6,Hoja1!$F$2:$XFD$61,BH42+4,FALSE),0)</f>
        <v>0</v>
      </c>
      <c r="DQ42">
        <f>IFERROR(VLOOKUP(DQ$6,Hoja1!$F$2:$XFD$61,BI42+4,FALSE),0)</f>
        <v>0</v>
      </c>
      <c r="DR42">
        <f>IFERROR(VLOOKUP(DR$6,Hoja1!$F$2:$XFD$61,BJ42+4,FALSE),0)</f>
        <v>0</v>
      </c>
      <c r="DS42">
        <f>IFERROR(VLOOKUP(DS$6,Hoja1!$F$2:$XFD$61,BK42+4,FALSE),0)</f>
        <v>0</v>
      </c>
      <c r="DT42">
        <f>IFERROR(VLOOKUP(DT$6,Hoja1!$F$2:$XFD$61,BL42+4,FALSE),0)</f>
        <v>0</v>
      </c>
      <c r="DU42" s="15" t="str">
        <f t="shared" si="0"/>
        <v/>
      </c>
      <c r="DV42" s="16" t="str">
        <f>IF(D42&lt;&gt;"",IF(DU42="","",IF(DU42&gt;=$DU$7*Hoja1!$E$2,4+3/($DU$7*(1-Hoja1!$E$2))*(DU42-$DU$7*Hoja1!$E$2),1+3/($DU$7*Hoja1!$E$2)*DU42)),DU42)</f>
        <v/>
      </c>
      <c r="DW42" s="47" t="b">
        <v>0</v>
      </c>
    </row>
    <row r="43" spans="1:127" ht="23.25" customHeight="1" x14ac:dyDescent="0.25">
      <c r="A43" s="17">
        <v>34</v>
      </c>
      <c r="B43" s="18"/>
      <c r="C43" s="18"/>
      <c r="D43" s="1"/>
      <c r="E43" s="28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BJ43" s="19"/>
      <c r="BK43" s="19"/>
      <c r="BL43" s="29"/>
      <c r="BM43">
        <f>IFERROR(VLOOKUP(BM$6,Hoja1!$F$2:$XFD$61,E43+4,FALSE),0)</f>
        <v>0</v>
      </c>
      <c r="BN43">
        <f>IFERROR(VLOOKUP(BN$6,Hoja1!$F$2:$XFD$61,F43+4,FALSE),0)</f>
        <v>0</v>
      </c>
      <c r="BO43">
        <f>IFERROR(VLOOKUP(BO$6,Hoja1!$F$2:$XFD$61,G43+4,FALSE),0)</f>
        <v>0</v>
      </c>
      <c r="BP43">
        <f>IFERROR(VLOOKUP(BP$6,Hoja1!$F$2:$XFD$61,H43+4,FALSE),0)</f>
        <v>0</v>
      </c>
      <c r="BQ43">
        <f>IFERROR(VLOOKUP(BQ$6,Hoja1!$F$2:$XFD$61,I43+4,FALSE),0)</f>
        <v>0</v>
      </c>
      <c r="BR43">
        <f>IFERROR(VLOOKUP(BR$6,Hoja1!$F$2:$XFD$61,J43+4,FALSE),0)</f>
        <v>0</v>
      </c>
      <c r="BS43">
        <f>IFERROR(VLOOKUP(BS$6,Hoja1!$F$2:$XFD$61,K43+4,FALSE),0)</f>
        <v>0</v>
      </c>
      <c r="BT43">
        <f>IFERROR(VLOOKUP(BT$6,Hoja1!$F$2:$XFD$61,L43+4,FALSE),0)</f>
        <v>0</v>
      </c>
      <c r="BU43">
        <f>IFERROR(VLOOKUP(BU$6,Hoja1!$F$2:$XFD$61,M43+4,FALSE),0)</f>
        <v>0</v>
      </c>
      <c r="BV43">
        <f>IFERROR(VLOOKUP(BV$6,Hoja1!$F$2:$XFD$61,N43+4,FALSE),0)</f>
        <v>0</v>
      </c>
      <c r="BW43">
        <f>IFERROR(VLOOKUP(BW$6,Hoja1!$F$2:$XFD$61,O43+4,FALSE),0)</f>
        <v>0</v>
      </c>
      <c r="BX43">
        <f>IFERROR(VLOOKUP(BX$6,Hoja1!$F$2:$XFD$61,P43+4,FALSE),0)</f>
        <v>0</v>
      </c>
      <c r="BY43">
        <f>IFERROR(VLOOKUP(BY$6,Hoja1!$F$2:$XFD$61,Q43+4,FALSE),0)</f>
        <v>0</v>
      </c>
      <c r="BZ43">
        <f>IFERROR(VLOOKUP(BZ$6,Hoja1!$F$2:$XFD$61,R43+4,FALSE),0)</f>
        <v>0</v>
      </c>
      <c r="CA43">
        <f>IFERROR(VLOOKUP(CA$6,Hoja1!$F$2:$XFD$61,S43+4,FALSE),0)</f>
        <v>0</v>
      </c>
      <c r="CB43">
        <f>IFERROR(VLOOKUP(CB$6,Hoja1!$F$2:$XFD$61,T43+4,FALSE),0)</f>
        <v>0</v>
      </c>
      <c r="CC43">
        <f>IFERROR(VLOOKUP(CC$6,Hoja1!$F$2:$XFD$61,U43+4,FALSE),0)</f>
        <v>0</v>
      </c>
      <c r="CD43">
        <f>IFERROR(VLOOKUP(CD$6,Hoja1!$F$2:$XFD$61,V43+4,FALSE),0)</f>
        <v>0</v>
      </c>
      <c r="CE43">
        <f>IFERROR(VLOOKUP(CE$6,Hoja1!$F$2:$XFD$61,W43+4,FALSE),0)</f>
        <v>0</v>
      </c>
      <c r="CF43">
        <f>IFERROR(VLOOKUP(CF$6,Hoja1!$F$2:$XFD$61,X43+4,FALSE),0)</f>
        <v>0</v>
      </c>
      <c r="CG43">
        <f>IFERROR(VLOOKUP(CG$6,Hoja1!$F$2:$XFD$61,Y43+4,FALSE),0)</f>
        <v>0</v>
      </c>
      <c r="CH43">
        <f>IFERROR(VLOOKUP(CH$6,Hoja1!$F$2:$XFD$61,Z43+4,FALSE),0)</f>
        <v>0</v>
      </c>
      <c r="CI43">
        <f>IFERROR(VLOOKUP(CI$6,Hoja1!$F$2:$XFD$61,AA43+4,FALSE),0)</f>
        <v>0</v>
      </c>
      <c r="CJ43">
        <f>IFERROR(VLOOKUP(CJ$6,Hoja1!$F$2:$XFD$61,AB43+4,FALSE),0)</f>
        <v>0</v>
      </c>
      <c r="CK43">
        <f>IFERROR(VLOOKUP(CK$6,Hoja1!$F$2:$XFD$61,AC43+4,FALSE),0)</f>
        <v>0</v>
      </c>
      <c r="CL43">
        <f>IFERROR(VLOOKUP(CL$6,Hoja1!$F$2:$XFD$61,AD43+4,FALSE),0)</f>
        <v>0</v>
      </c>
      <c r="CM43">
        <f>IFERROR(VLOOKUP(CM$6,Hoja1!$F$2:$XFD$61,AE43+4,FALSE),0)</f>
        <v>0</v>
      </c>
      <c r="CN43">
        <f>IFERROR(VLOOKUP(CN$6,Hoja1!$F$2:$XFD$61,AF43+4,FALSE),0)</f>
        <v>0</v>
      </c>
      <c r="CO43">
        <f>IFERROR(VLOOKUP(CO$6,Hoja1!$F$2:$XFD$61,AG43+4,FALSE),0)</f>
        <v>0</v>
      </c>
      <c r="CP43">
        <f>IFERROR(VLOOKUP(CP$6,Hoja1!$F$2:$XFD$61,AH43+4,FALSE),0)</f>
        <v>0</v>
      </c>
      <c r="CQ43">
        <f>IFERROR(VLOOKUP(CQ$6,Hoja1!$F$2:$XFD$61,AI43+4,FALSE),0)</f>
        <v>0</v>
      </c>
      <c r="CR43">
        <f>IFERROR(VLOOKUP(CR$6,Hoja1!$F$2:$XFD$61,AJ43+4,FALSE),0)</f>
        <v>0</v>
      </c>
      <c r="CS43">
        <f>IFERROR(VLOOKUP(CS$6,Hoja1!$F$2:$XFD$61,AK43+4,FALSE),0)</f>
        <v>0</v>
      </c>
      <c r="CT43">
        <f>IFERROR(VLOOKUP(CT$6,Hoja1!$F$2:$XFD$61,AL43+4,FALSE),0)</f>
        <v>0</v>
      </c>
      <c r="CU43">
        <f>IFERROR(VLOOKUP(CU$6,Hoja1!$F$2:$XFD$61,AM43+4,FALSE),0)</f>
        <v>0</v>
      </c>
      <c r="CV43">
        <f>IFERROR(VLOOKUP(CV$6,Hoja1!$F$2:$XFD$61,AN43+4,FALSE),0)</f>
        <v>0</v>
      </c>
      <c r="CW43">
        <f>IFERROR(VLOOKUP(CW$6,Hoja1!$F$2:$XFD$61,AO43+4,FALSE),0)</f>
        <v>0</v>
      </c>
      <c r="CX43">
        <f>IFERROR(VLOOKUP(CX$6,Hoja1!$F$2:$XFD$61,AP43+4,FALSE),0)</f>
        <v>0</v>
      </c>
      <c r="CY43">
        <f>IFERROR(VLOOKUP(CY$6,Hoja1!$F$2:$XFD$61,AQ43+4,FALSE),0)</f>
        <v>0</v>
      </c>
      <c r="CZ43">
        <f>IFERROR(VLOOKUP(CZ$6,Hoja1!$F$2:$XFD$61,AR43+4,FALSE),0)</f>
        <v>0</v>
      </c>
      <c r="DA43">
        <f>IFERROR(VLOOKUP(DA$6,Hoja1!$F$2:$XFD$61,AS43+4,FALSE),0)</f>
        <v>0</v>
      </c>
      <c r="DB43">
        <f>IFERROR(VLOOKUP(DB$6,Hoja1!$F$2:$XFD$61,AT43+4,FALSE),0)</f>
        <v>0</v>
      </c>
      <c r="DC43">
        <f>IFERROR(VLOOKUP(DC$6,Hoja1!$F$2:$XFD$61,AU43+4,FALSE),0)</f>
        <v>0</v>
      </c>
      <c r="DD43">
        <f>IFERROR(VLOOKUP(DD$6,Hoja1!$F$2:$XFD$61,AV43+4,FALSE),0)</f>
        <v>0</v>
      </c>
      <c r="DE43">
        <f>IFERROR(VLOOKUP(DE$6,Hoja1!$F$2:$XFD$61,AW43+4,FALSE),0)</f>
        <v>0</v>
      </c>
      <c r="DF43">
        <f>IFERROR(VLOOKUP(DF$6,Hoja1!$F$2:$XFD$61,AX43+4,FALSE),0)</f>
        <v>0</v>
      </c>
      <c r="DG43">
        <f>IFERROR(VLOOKUP(DG$6,Hoja1!$F$2:$XFD$61,AY43+4,FALSE),0)</f>
        <v>0</v>
      </c>
      <c r="DH43">
        <f>IFERROR(VLOOKUP(DH$6,Hoja1!$F$2:$XFD$61,AZ43+4,FALSE),0)</f>
        <v>0</v>
      </c>
      <c r="DI43">
        <f>IFERROR(VLOOKUP(DI$6,Hoja1!$F$2:$XFD$61,BA43+4,FALSE),0)</f>
        <v>0</v>
      </c>
      <c r="DJ43">
        <f>IFERROR(VLOOKUP(DJ$6,Hoja1!$F$2:$XFD$61,BB43+4,FALSE),0)</f>
        <v>0</v>
      </c>
      <c r="DK43">
        <f>IFERROR(VLOOKUP(DK$6,Hoja1!$F$2:$XFD$61,BC43+4,FALSE),0)</f>
        <v>0</v>
      </c>
      <c r="DL43">
        <f>IFERROR(VLOOKUP(DL$6,Hoja1!$F$2:$XFD$61,BD43+4,FALSE),0)</f>
        <v>0</v>
      </c>
      <c r="DM43">
        <f>IFERROR(VLOOKUP(DM$6,Hoja1!$F$2:$XFD$61,BE43+4,FALSE),0)</f>
        <v>0</v>
      </c>
      <c r="DN43">
        <f>IFERROR(VLOOKUP(DN$6,Hoja1!$F$2:$XFD$61,BF43+4,FALSE),0)</f>
        <v>0</v>
      </c>
      <c r="DO43">
        <f>IFERROR(VLOOKUP(DO$6,Hoja1!$F$2:$XFD$61,BG43+4,FALSE),0)</f>
        <v>0</v>
      </c>
      <c r="DP43">
        <f>IFERROR(VLOOKUP(DP$6,Hoja1!$F$2:$XFD$61,BH43+4,FALSE),0)</f>
        <v>0</v>
      </c>
      <c r="DQ43">
        <f>IFERROR(VLOOKUP(DQ$6,Hoja1!$F$2:$XFD$61,BI43+4,FALSE),0)</f>
        <v>0</v>
      </c>
      <c r="DR43">
        <f>IFERROR(VLOOKUP(DR$6,Hoja1!$F$2:$XFD$61,BJ43+4,FALSE),0)</f>
        <v>0</v>
      </c>
      <c r="DS43">
        <f>IFERROR(VLOOKUP(DS$6,Hoja1!$F$2:$XFD$61,BK43+4,FALSE),0)</f>
        <v>0</v>
      </c>
      <c r="DT43">
        <f>IFERROR(VLOOKUP(DT$6,Hoja1!$F$2:$XFD$61,BL43+4,FALSE),0)</f>
        <v>0</v>
      </c>
      <c r="DU43" s="15" t="str">
        <f t="shared" si="0"/>
        <v/>
      </c>
      <c r="DV43" s="16" t="str">
        <f>IF(D43&lt;&gt;"",IF(DU43="","",IF(DU43&gt;=$DU$7*Hoja1!$E$2,4+3/($DU$7*(1-Hoja1!$E$2))*(DU43-$DU$7*Hoja1!$E$2),1+3/($DU$7*Hoja1!$E$2)*DU43)),DU43)</f>
        <v/>
      </c>
      <c r="DW43" s="47" t="b">
        <v>0</v>
      </c>
    </row>
    <row r="44" spans="1:127" ht="23.25" customHeight="1" x14ac:dyDescent="0.25">
      <c r="A44" s="17">
        <v>35</v>
      </c>
      <c r="B44" s="18"/>
      <c r="C44" s="18"/>
      <c r="D44" s="1"/>
      <c r="E44" s="28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  <c r="BJ44" s="19"/>
      <c r="BK44" s="19"/>
      <c r="BL44" s="29"/>
      <c r="BM44">
        <f>IFERROR(VLOOKUP(BM$6,Hoja1!$F$2:$XFD$61,E44+4,FALSE),0)</f>
        <v>0</v>
      </c>
      <c r="BN44">
        <f>IFERROR(VLOOKUP(BN$6,Hoja1!$F$2:$XFD$61,F44+4,FALSE),0)</f>
        <v>0</v>
      </c>
      <c r="BO44">
        <f>IFERROR(VLOOKUP(BO$6,Hoja1!$F$2:$XFD$61,G44+4,FALSE),0)</f>
        <v>0</v>
      </c>
      <c r="BP44">
        <f>IFERROR(VLOOKUP(BP$6,Hoja1!$F$2:$XFD$61,H44+4,FALSE),0)</f>
        <v>0</v>
      </c>
      <c r="BQ44">
        <f>IFERROR(VLOOKUP(BQ$6,Hoja1!$F$2:$XFD$61,I44+4,FALSE),0)</f>
        <v>0</v>
      </c>
      <c r="BR44">
        <f>IFERROR(VLOOKUP(BR$6,Hoja1!$F$2:$XFD$61,J44+4,FALSE),0)</f>
        <v>0</v>
      </c>
      <c r="BS44">
        <f>IFERROR(VLOOKUP(BS$6,Hoja1!$F$2:$XFD$61,K44+4,FALSE),0)</f>
        <v>0</v>
      </c>
      <c r="BT44">
        <f>IFERROR(VLOOKUP(BT$6,Hoja1!$F$2:$XFD$61,L44+4,FALSE),0)</f>
        <v>0</v>
      </c>
      <c r="BU44">
        <f>IFERROR(VLOOKUP(BU$6,Hoja1!$F$2:$XFD$61,M44+4,FALSE),0)</f>
        <v>0</v>
      </c>
      <c r="BV44">
        <f>IFERROR(VLOOKUP(BV$6,Hoja1!$F$2:$XFD$61,N44+4,FALSE),0)</f>
        <v>0</v>
      </c>
      <c r="BW44">
        <f>IFERROR(VLOOKUP(BW$6,Hoja1!$F$2:$XFD$61,O44+4,FALSE),0)</f>
        <v>0</v>
      </c>
      <c r="BX44">
        <f>IFERROR(VLOOKUP(BX$6,Hoja1!$F$2:$XFD$61,P44+4,FALSE),0)</f>
        <v>0</v>
      </c>
      <c r="BY44">
        <f>IFERROR(VLOOKUP(BY$6,Hoja1!$F$2:$XFD$61,Q44+4,FALSE),0)</f>
        <v>0</v>
      </c>
      <c r="BZ44">
        <f>IFERROR(VLOOKUP(BZ$6,Hoja1!$F$2:$XFD$61,R44+4,FALSE),0)</f>
        <v>0</v>
      </c>
      <c r="CA44">
        <f>IFERROR(VLOOKUP(CA$6,Hoja1!$F$2:$XFD$61,S44+4,FALSE),0)</f>
        <v>0</v>
      </c>
      <c r="CB44">
        <f>IFERROR(VLOOKUP(CB$6,Hoja1!$F$2:$XFD$61,T44+4,FALSE),0)</f>
        <v>0</v>
      </c>
      <c r="CC44">
        <f>IFERROR(VLOOKUP(CC$6,Hoja1!$F$2:$XFD$61,U44+4,FALSE),0)</f>
        <v>0</v>
      </c>
      <c r="CD44">
        <f>IFERROR(VLOOKUP(CD$6,Hoja1!$F$2:$XFD$61,V44+4,FALSE),0)</f>
        <v>0</v>
      </c>
      <c r="CE44">
        <f>IFERROR(VLOOKUP(CE$6,Hoja1!$F$2:$XFD$61,W44+4,FALSE),0)</f>
        <v>0</v>
      </c>
      <c r="CF44">
        <f>IFERROR(VLOOKUP(CF$6,Hoja1!$F$2:$XFD$61,X44+4,FALSE),0)</f>
        <v>0</v>
      </c>
      <c r="CG44">
        <f>IFERROR(VLOOKUP(CG$6,Hoja1!$F$2:$XFD$61,Y44+4,FALSE),0)</f>
        <v>0</v>
      </c>
      <c r="CH44">
        <f>IFERROR(VLOOKUP(CH$6,Hoja1!$F$2:$XFD$61,Z44+4,FALSE),0)</f>
        <v>0</v>
      </c>
      <c r="CI44">
        <f>IFERROR(VLOOKUP(CI$6,Hoja1!$F$2:$XFD$61,AA44+4,FALSE),0)</f>
        <v>0</v>
      </c>
      <c r="CJ44">
        <f>IFERROR(VLOOKUP(CJ$6,Hoja1!$F$2:$XFD$61,AB44+4,FALSE),0)</f>
        <v>0</v>
      </c>
      <c r="CK44">
        <f>IFERROR(VLOOKUP(CK$6,Hoja1!$F$2:$XFD$61,AC44+4,FALSE),0)</f>
        <v>0</v>
      </c>
      <c r="CL44">
        <f>IFERROR(VLOOKUP(CL$6,Hoja1!$F$2:$XFD$61,AD44+4,FALSE),0)</f>
        <v>0</v>
      </c>
      <c r="CM44">
        <f>IFERROR(VLOOKUP(CM$6,Hoja1!$F$2:$XFD$61,AE44+4,FALSE),0)</f>
        <v>0</v>
      </c>
      <c r="CN44">
        <f>IFERROR(VLOOKUP(CN$6,Hoja1!$F$2:$XFD$61,AF44+4,FALSE),0)</f>
        <v>0</v>
      </c>
      <c r="CO44">
        <f>IFERROR(VLOOKUP(CO$6,Hoja1!$F$2:$XFD$61,AG44+4,FALSE),0)</f>
        <v>0</v>
      </c>
      <c r="CP44">
        <f>IFERROR(VLOOKUP(CP$6,Hoja1!$F$2:$XFD$61,AH44+4,FALSE),0)</f>
        <v>0</v>
      </c>
      <c r="CQ44">
        <f>IFERROR(VLOOKUP(CQ$6,Hoja1!$F$2:$XFD$61,AI44+4,FALSE),0)</f>
        <v>0</v>
      </c>
      <c r="CR44">
        <f>IFERROR(VLOOKUP(CR$6,Hoja1!$F$2:$XFD$61,AJ44+4,FALSE),0)</f>
        <v>0</v>
      </c>
      <c r="CS44">
        <f>IFERROR(VLOOKUP(CS$6,Hoja1!$F$2:$XFD$61,AK44+4,FALSE),0)</f>
        <v>0</v>
      </c>
      <c r="CT44">
        <f>IFERROR(VLOOKUP(CT$6,Hoja1!$F$2:$XFD$61,AL44+4,FALSE),0)</f>
        <v>0</v>
      </c>
      <c r="CU44">
        <f>IFERROR(VLOOKUP(CU$6,Hoja1!$F$2:$XFD$61,AM44+4,FALSE),0)</f>
        <v>0</v>
      </c>
      <c r="CV44">
        <f>IFERROR(VLOOKUP(CV$6,Hoja1!$F$2:$XFD$61,AN44+4,FALSE),0)</f>
        <v>0</v>
      </c>
      <c r="CW44">
        <f>IFERROR(VLOOKUP(CW$6,Hoja1!$F$2:$XFD$61,AO44+4,FALSE),0)</f>
        <v>0</v>
      </c>
      <c r="CX44">
        <f>IFERROR(VLOOKUP(CX$6,Hoja1!$F$2:$XFD$61,AP44+4,FALSE),0)</f>
        <v>0</v>
      </c>
      <c r="CY44">
        <f>IFERROR(VLOOKUP(CY$6,Hoja1!$F$2:$XFD$61,AQ44+4,FALSE),0)</f>
        <v>0</v>
      </c>
      <c r="CZ44">
        <f>IFERROR(VLOOKUP(CZ$6,Hoja1!$F$2:$XFD$61,AR44+4,FALSE),0)</f>
        <v>0</v>
      </c>
      <c r="DA44">
        <f>IFERROR(VLOOKUP(DA$6,Hoja1!$F$2:$XFD$61,AS44+4,FALSE),0)</f>
        <v>0</v>
      </c>
      <c r="DB44">
        <f>IFERROR(VLOOKUP(DB$6,Hoja1!$F$2:$XFD$61,AT44+4,FALSE),0)</f>
        <v>0</v>
      </c>
      <c r="DC44">
        <f>IFERROR(VLOOKUP(DC$6,Hoja1!$F$2:$XFD$61,AU44+4,FALSE),0)</f>
        <v>0</v>
      </c>
      <c r="DD44">
        <f>IFERROR(VLOOKUP(DD$6,Hoja1!$F$2:$XFD$61,AV44+4,FALSE),0)</f>
        <v>0</v>
      </c>
      <c r="DE44">
        <f>IFERROR(VLOOKUP(DE$6,Hoja1!$F$2:$XFD$61,AW44+4,FALSE),0)</f>
        <v>0</v>
      </c>
      <c r="DF44">
        <f>IFERROR(VLOOKUP(DF$6,Hoja1!$F$2:$XFD$61,AX44+4,FALSE),0)</f>
        <v>0</v>
      </c>
      <c r="DG44">
        <f>IFERROR(VLOOKUP(DG$6,Hoja1!$F$2:$XFD$61,AY44+4,FALSE),0)</f>
        <v>0</v>
      </c>
      <c r="DH44">
        <f>IFERROR(VLOOKUP(DH$6,Hoja1!$F$2:$XFD$61,AZ44+4,FALSE),0)</f>
        <v>0</v>
      </c>
      <c r="DI44">
        <f>IFERROR(VLOOKUP(DI$6,Hoja1!$F$2:$XFD$61,BA44+4,FALSE),0)</f>
        <v>0</v>
      </c>
      <c r="DJ44">
        <f>IFERROR(VLOOKUP(DJ$6,Hoja1!$F$2:$XFD$61,BB44+4,FALSE),0)</f>
        <v>0</v>
      </c>
      <c r="DK44">
        <f>IFERROR(VLOOKUP(DK$6,Hoja1!$F$2:$XFD$61,BC44+4,FALSE),0)</f>
        <v>0</v>
      </c>
      <c r="DL44">
        <f>IFERROR(VLOOKUP(DL$6,Hoja1!$F$2:$XFD$61,BD44+4,FALSE),0)</f>
        <v>0</v>
      </c>
      <c r="DM44">
        <f>IFERROR(VLOOKUP(DM$6,Hoja1!$F$2:$XFD$61,BE44+4,FALSE),0)</f>
        <v>0</v>
      </c>
      <c r="DN44">
        <f>IFERROR(VLOOKUP(DN$6,Hoja1!$F$2:$XFD$61,BF44+4,FALSE),0)</f>
        <v>0</v>
      </c>
      <c r="DO44">
        <f>IFERROR(VLOOKUP(DO$6,Hoja1!$F$2:$XFD$61,BG44+4,FALSE),0)</f>
        <v>0</v>
      </c>
      <c r="DP44">
        <f>IFERROR(VLOOKUP(DP$6,Hoja1!$F$2:$XFD$61,BH44+4,FALSE),0)</f>
        <v>0</v>
      </c>
      <c r="DQ44">
        <f>IFERROR(VLOOKUP(DQ$6,Hoja1!$F$2:$XFD$61,BI44+4,FALSE),0)</f>
        <v>0</v>
      </c>
      <c r="DR44">
        <f>IFERROR(VLOOKUP(DR$6,Hoja1!$F$2:$XFD$61,BJ44+4,FALSE),0)</f>
        <v>0</v>
      </c>
      <c r="DS44">
        <f>IFERROR(VLOOKUP(DS$6,Hoja1!$F$2:$XFD$61,BK44+4,FALSE),0)</f>
        <v>0</v>
      </c>
      <c r="DT44">
        <f>IFERROR(VLOOKUP(DT$6,Hoja1!$F$2:$XFD$61,BL44+4,FALSE),0)</f>
        <v>0</v>
      </c>
      <c r="DU44" s="15" t="str">
        <f t="shared" si="0"/>
        <v/>
      </c>
      <c r="DV44" s="16" t="str">
        <f>IF(D44&lt;&gt;"",IF(DU44="","",IF(DU44&gt;=$DU$7*Hoja1!$E$2,4+3/($DU$7*(1-Hoja1!$E$2))*(DU44-$DU$7*Hoja1!$E$2),1+3/($DU$7*Hoja1!$E$2)*DU44)),DU44)</f>
        <v/>
      </c>
      <c r="DW44" s="47" t="b">
        <v>0</v>
      </c>
    </row>
    <row r="45" spans="1:127" ht="23.25" customHeight="1" x14ac:dyDescent="0.25">
      <c r="A45" s="17">
        <v>36</v>
      </c>
      <c r="B45" s="18"/>
      <c r="C45" s="18"/>
      <c r="D45" s="1"/>
      <c r="E45" s="28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9"/>
      <c r="AA45" s="19"/>
      <c r="AB45" s="19"/>
      <c r="AC45" s="19"/>
      <c r="AD45" s="19"/>
      <c r="AE45" s="19"/>
      <c r="AF45" s="19"/>
      <c r="AG45" s="19"/>
      <c r="AH45" s="19"/>
      <c r="AI45" s="19"/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  <c r="BA45" s="19"/>
      <c r="BB45" s="19"/>
      <c r="BC45" s="19"/>
      <c r="BD45" s="19"/>
      <c r="BE45" s="19"/>
      <c r="BF45" s="19"/>
      <c r="BG45" s="19"/>
      <c r="BH45" s="19"/>
      <c r="BI45" s="19"/>
      <c r="BJ45" s="19"/>
      <c r="BK45" s="19"/>
      <c r="BL45" s="29"/>
      <c r="BM45">
        <f>IFERROR(VLOOKUP(BM$6,Hoja1!$F$2:$XFD$61,E45+4,FALSE),0)</f>
        <v>0</v>
      </c>
      <c r="BN45">
        <f>IFERROR(VLOOKUP(BN$6,Hoja1!$F$2:$XFD$61,F45+4,FALSE),0)</f>
        <v>0</v>
      </c>
      <c r="BO45">
        <f>IFERROR(VLOOKUP(BO$6,Hoja1!$F$2:$XFD$61,G45+4,FALSE),0)</f>
        <v>0</v>
      </c>
      <c r="BP45">
        <f>IFERROR(VLOOKUP(BP$6,Hoja1!$F$2:$XFD$61,H45+4,FALSE),0)</f>
        <v>0</v>
      </c>
      <c r="BQ45">
        <f>IFERROR(VLOOKUP(BQ$6,Hoja1!$F$2:$XFD$61,I45+4,FALSE),0)</f>
        <v>0</v>
      </c>
      <c r="BR45">
        <f>IFERROR(VLOOKUP(BR$6,Hoja1!$F$2:$XFD$61,J45+4,FALSE),0)</f>
        <v>0</v>
      </c>
      <c r="BS45">
        <f>IFERROR(VLOOKUP(BS$6,Hoja1!$F$2:$XFD$61,K45+4,FALSE),0)</f>
        <v>0</v>
      </c>
      <c r="BT45">
        <f>IFERROR(VLOOKUP(BT$6,Hoja1!$F$2:$XFD$61,L45+4,FALSE),0)</f>
        <v>0</v>
      </c>
      <c r="BU45">
        <f>IFERROR(VLOOKUP(BU$6,Hoja1!$F$2:$XFD$61,M45+4,FALSE),0)</f>
        <v>0</v>
      </c>
      <c r="BV45">
        <f>IFERROR(VLOOKUP(BV$6,Hoja1!$F$2:$XFD$61,N45+4,FALSE),0)</f>
        <v>0</v>
      </c>
      <c r="BW45">
        <f>IFERROR(VLOOKUP(BW$6,Hoja1!$F$2:$XFD$61,O45+4,FALSE),0)</f>
        <v>0</v>
      </c>
      <c r="BX45">
        <f>IFERROR(VLOOKUP(BX$6,Hoja1!$F$2:$XFD$61,P45+4,FALSE),0)</f>
        <v>0</v>
      </c>
      <c r="BY45">
        <f>IFERROR(VLOOKUP(BY$6,Hoja1!$F$2:$XFD$61,Q45+4,FALSE),0)</f>
        <v>0</v>
      </c>
      <c r="BZ45">
        <f>IFERROR(VLOOKUP(BZ$6,Hoja1!$F$2:$XFD$61,R45+4,FALSE),0)</f>
        <v>0</v>
      </c>
      <c r="CA45">
        <f>IFERROR(VLOOKUP(CA$6,Hoja1!$F$2:$XFD$61,S45+4,FALSE),0)</f>
        <v>0</v>
      </c>
      <c r="CB45">
        <f>IFERROR(VLOOKUP(CB$6,Hoja1!$F$2:$XFD$61,T45+4,FALSE),0)</f>
        <v>0</v>
      </c>
      <c r="CC45">
        <f>IFERROR(VLOOKUP(CC$6,Hoja1!$F$2:$XFD$61,U45+4,FALSE),0)</f>
        <v>0</v>
      </c>
      <c r="CD45">
        <f>IFERROR(VLOOKUP(CD$6,Hoja1!$F$2:$XFD$61,V45+4,FALSE),0)</f>
        <v>0</v>
      </c>
      <c r="CE45">
        <f>IFERROR(VLOOKUP(CE$6,Hoja1!$F$2:$XFD$61,W45+4,FALSE),0)</f>
        <v>0</v>
      </c>
      <c r="CF45">
        <f>IFERROR(VLOOKUP(CF$6,Hoja1!$F$2:$XFD$61,X45+4,FALSE),0)</f>
        <v>0</v>
      </c>
      <c r="CG45">
        <f>IFERROR(VLOOKUP(CG$6,Hoja1!$F$2:$XFD$61,Y45+4,FALSE),0)</f>
        <v>0</v>
      </c>
      <c r="CH45">
        <f>IFERROR(VLOOKUP(CH$6,Hoja1!$F$2:$XFD$61,Z45+4,FALSE),0)</f>
        <v>0</v>
      </c>
      <c r="CI45">
        <f>IFERROR(VLOOKUP(CI$6,Hoja1!$F$2:$XFD$61,AA45+4,FALSE),0)</f>
        <v>0</v>
      </c>
      <c r="CJ45">
        <f>IFERROR(VLOOKUP(CJ$6,Hoja1!$F$2:$XFD$61,AB45+4,FALSE),0)</f>
        <v>0</v>
      </c>
      <c r="CK45">
        <f>IFERROR(VLOOKUP(CK$6,Hoja1!$F$2:$XFD$61,AC45+4,FALSE),0)</f>
        <v>0</v>
      </c>
      <c r="CL45">
        <f>IFERROR(VLOOKUP(CL$6,Hoja1!$F$2:$XFD$61,AD45+4,FALSE),0)</f>
        <v>0</v>
      </c>
      <c r="CM45">
        <f>IFERROR(VLOOKUP(CM$6,Hoja1!$F$2:$XFD$61,AE45+4,FALSE),0)</f>
        <v>0</v>
      </c>
      <c r="CN45">
        <f>IFERROR(VLOOKUP(CN$6,Hoja1!$F$2:$XFD$61,AF45+4,FALSE),0)</f>
        <v>0</v>
      </c>
      <c r="CO45">
        <f>IFERROR(VLOOKUP(CO$6,Hoja1!$F$2:$XFD$61,AG45+4,FALSE),0)</f>
        <v>0</v>
      </c>
      <c r="CP45">
        <f>IFERROR(VLOOKUP(CP$6,Hoja1!$F$2:$XFD$61,AH45+4,FALSE),0)</f>
        <v>0</v>
      </c>
      <c r="CQ45">
        <f>IFERROR(VLOOKUP(CQ$6,Hoja1!$F$2:$XFD$61,AI45+4,FALSE),0)</f>
        <v>0</v>
      </c>
      <c r="CR45">
        <f>IFERROR(VLOOKUP(CR$6,Hoja1!$F$2:$XFD$61,AJ45+4,FALSE),0)</f>
        <v>0</v>
      </c>
      <c r="CS45">
        <f>IFERROR(VLOOKUP(CS$6,Hoja1!$F$2:$XFD$61,AK45+4,FALSE),0)</f>
        <v>0</v>
      </c>
      <c r="CT45">
        <f>IFERROR(VLOOKUP(CT$6,Hoja1!$F$2:$XFD$61,AL45+4,FALSE),0)</f>
        <v>0</v>
      </c>
      <c r="CU45">
        <f>IFERROR(VLOOKUP(CU$6,Hoja1!$F$2:$XFD$61,AM45+4,FALSE),0)</f>
        <v>0</v>
      </c>
      <c r="CV45">
        <f>IFERROR(VLOOKUP(CV$6,Hoja1!$F$2:$XFD$61,AN45+4,FALSE),0)</f>
        <v>0</v>
      </c>
      <c r="CW45">
        <f>IFERROR(VLOOKUP(CW$6,Hoja1!$F$2:$XFD$61,AO45+4,FALSE),0)</f>
        <v>0</v>
      </c>
      <c r="CX45">
        <f>IFERROR(VLOOKUP(CX$6,Hoja1!$F$2:$XFD$61,AP45+4,FALSE),0)</f>
        <v>0</v>
      </c>
      <c r="CY45">
        <f>IFERROR(VLOOKUP(CY$6,Hoja1!$F$2:$XFD$61,AQ45+4,FALSE),0)</f>
        <v>0</v>
      </c>
      <c r="CZ45">
        <f>IFERROR(VLOOKUP(CZ$6,Hoja1!$F$2:$XFD$61,AR45+4,FALSE),0)</f>
        <v>0</v>
      </c>
      <c r="DA45">
        <f>IFERROR(VLOOKUP(DA$6,Hoja1!$F$2:$XFD$61,AS45+4,FALSE),0)</f>
        <v>0</v>
      </c>
      <c r="DB45">
        <f>IFERROR(VLOOKUP(DB$6,Hoja1!$F$2:$XFD$61,AT45+4,FALSE),0)</f>
        <v>0</v>
      </c>
      <c r="DC45">
        <f>IFERROR(VLOOKUP(DC$6,Hoja1!$F$2:$XFD$61,AU45+4,FALSE),0)</f>
        <v>0</v>
      </c>
      <c r="DD45">
        <f>IFERROR(VLOOKUP(DD$6,Hoja1!$F$2:$XFD$61,AV45+4,FALSE),0)</f>
        <v>0</v>
      </c>
      <c r="DE45">
        <f>IFERROR(VLOOKUP(DE$6,Hoja1!$F$2:$XFD$61,AW45+4,FALSE),0)</f>
        <v>0</v>
      </c>
      <c r="DF45">
        <f>IFERROR(VLOOKUP(DF$6,Hoja1!$F$2:$XFD$61,AX45+4,FALSE),0)</f>
        <v>0</v>
      </c>
      <c r="DG45">
        <f>IFERROR(VLOOKUP(DG$6,Hoja1!$F$2:$XFD$61,AY45+4,FALSE),0)</f>
        <v>0</v>
      </c>
      <c r="DH45">
        <f>IFERROR(VLOOKUP(DH$6,Hoja1!$F$2:$XFD$61,AZ45+4,FALSE),0)</f>
        <v>0</v>
      </c>
      <c r="DI45">
        <f>IFERROR(VLOOKUP(DI$6,Hoja1!$F$2:$XFD$61,BA45+4,FALSE),0)</f>
        <v>0</v>
      </c>
      <c r="DJ45">
        <f>IFERROR(VLOOKUP(DJ$6,Hoja1!$F$2:$XFD$61,BB45+4,FALSE),0)</f>
        <v>0</v>
      </c>
      <c r="DK45">
        <f>IFERROR(VLOOKUP(DK$6,Hoja1!$F$2:$XFD$61,BC45+4,FALSE),0)</f>
        <v>0</v>
      </c>
      <c r="DL45">
        <f>IFERROR(VLOOKUP(DL$6,Hoja1!$F$2:$XFD$61,BD45+4,FALSE),0)</f>
        <v>0</v>
      </c>
      <c r="DM45">
        <f>IFERROR(VLOOKUP(DM$6,Hoja1!$F$2:$XFD$61,BE45+4,FALSE),0)</f>
        <v>0</v>
      </c>
      <c r="DN45">
        <f>IFERROR(VLOOKUP(DN$6,Hoja1!$F$2:$XFD$61,BF45+4,FALSE),0)</f>
        <v>0</v>
      </c>
      <c r="DO45">
        <f>IFERROR(VLOOKUP(DO$6,Hoja1!$F$2:$XFD$61,BG45+4,FALSE),0)</f>
        <v>0</v>
      </c>
      <c r="DP45">
        <f>IFERROR(VLOOKUP(DP$6,Hoja1!$F$2:$XFD$61,BH45+4,FALSE),0)</f>
        <v>0</v>
      </c>
      <c r="DQ45">
        <f>IFERROR(VLOOKUP(DQ$6,Hoja1!$F$2:$XFD$61,BI45+4,FALSE),0)</f>
        <v>0</v>
      </c>
      <c r="DR45">
        <f>IFERROR(VLOOKUP(DR$6,Hoja1!$F$2:$XFD$61,BJ45+4,FALSE),0)</f>
        <v>0</v>
      </c>
      <c r="DS45">
        <f>IFERROR(VLOOKUP(DS$6,Hoja1!$F$2:$XFD$61,BK45+4,FALSE),0)</f>
        <v>0</v>
      </c>
      <c r="DT45">
        <f>IFERROR(VLOOKUP(DT$6,Hoja1!$F$2:$XFD$61,BL45+4,FALSE),0)</f>
        <v>0</v>
      </c>
      <c r="DU45" s="15" t="str">
        <f t="shared" si="0"/>
        <v/>
      </c>
      <c r="DV45" s="16" t="str">
        <f>IF(D45&lt;&gt;"",IF(DU45="","",IF(DU45&gt;=$DU$7*Hoja1!$E$2,4+3/($DU$7*(1-Hoja1!$E$2))*(DU45-$DU$7*Hoja1!$E$2),1+3/($DU$7*Hoja1!$E$2)*DU45)),DU45)</f>
        <v/>
      </c>
      <c r="DW45" s="47" t="b">
        <v>0</v>
      </c>
    </row>
    <row r="46" spans="1:127" ht="23.25" customHeight="1" x14ac:dyDescent="0.25">
      <c r="A46" s="17">
        <v>37</v>
      </c>
      <c r="B46" s="18"/>
      <c r="C46" s="18"/>
      <c r="D46" s="1"/>
      <c r="E46" s="28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9"/>
      <c r="AA46" s="19"/>
      <c r="AB46" s="19"/>
      <c r="AC46" s="19"/>
      <c r="AD46" s="19"/>
      <c r="AE46" s="19"/>
      <c r="AF46" s="19"/>
      <c r="AG46" s="19"/>
      <c r="AH46" s="19"/>
      <c r="AI46" s="19"/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B46" s="19"/>
      <c r="BC46" s="19"/>
      <c r="BD46" s="19"/>
      <c r="BE46" s="19"/>
      <c r="BF46" s="19"/>
      <c r="BG46" s="19"/>
      <c r="BH46" s="19"/>
      <c r="BI46" s="19"/>
      <c r="BJ46" s="19"/>
      <c r="BK46" s="19"/>
      <c r="BL46" s="29"/>
      <c r="BM46">
        <f>IFERROR(VLOOKUP(BM$6,Hoja1!$F$2:$XFD$61,E46+4,FALSE),0)</f>
        <v>0</v>
      </c>
      <c r="BN46">
        <f>IFERROR(VLOOKUP(BN$6,Hoja1!$F$2:$XFD$61,F46+4,FALSE),0)</f>
        <v>0</v>
      </c>
      <c r="BO46">
        <f>IFERROR(VLOOKUP(BO$6,Hoja1!$F$2:$XFD$61,G46+4,FALSE),0)</f>
        <v>0</v>
      </c>
      <c r="BP46">
        <f>IFERROR(VLOOKUP(BP$6,Hoja1!$F$2:$XFD$61,H46+4,FALSE),0)</f>
        <v>0</v>
      </c>
      <c r="BQ46">
        <f>IFERROR(VLOOKUP(BQ$6,Hoja1!$F$2:$XFD$61,I46+4,FALSE),0)</f>
        <v>0</v>
      </c>
      <c r="BR46">
        <f>IFERROR(VLOOKUP(BR$6,Hoja1!$F$2:$XFD$61,J46+4,FALSE),0)</f>
        <v>0</v>
      </c>
      <c r="BS46">
        <f>IFERROR(VLOOKUP(BS$6,Hoja1!$F$2:$XFD$61,K46+4,FALSE),0)</f>
        <v>0</v>
      </c>
      <c r="BT46">
        <f>IFERROR(VLOOKUP(BT$6,Hoja1!$F$2:$XFD$61,L46+4,FALSE),0)</f>
        <v>0</v>
      </c>
      <c r="BU46">
        <f>IFERROR(VLOOKUP(BU$6,Hoja1!$F$2:$XFD$61,M46+4,FALSE),0)</f>
        <v>0</v>
      </c>
      <c r="BV46">
        <f>IFERROR(VLOOKUP(BV$6,Hoja1!$F$2:$XFD$61,N46+4,FALSE),0)</f>
        <v>0</v>
      </c>
      <c r="BW46">
        <f>IFERROR(VLOOKUP(BW$6,Hoja1!$F$2:$XFD$61,O46+4,FALSE),0)</f>
        <v>0</v>
      </c>
      <c r="BX46">
        <f>IFERROR(VLOOKUP(BX$6,Hoja1!$F$2:$XFD$61,P46+4,FALSE),0)</f>
        <v>0</v>
      </c>
      <c r="BY46">
        <f>IFERROR(VLOOKUP(BY$6,Hoja1!$F$2:$XFD$61,Q46+4,FALSE),0)</f>
        <v>0</v>
      </c>
      <c r="BZ46">
        <f>IFERROR(VLOOKUP(BZ$6,Hoja1!$F$2:$XFD$61,R46+4,FALSE),0)</f>
        <v>0</v>
      </c>
      <c r="CA46">
        <f>IFERROR(VLOOKUP(CA$6,Hoja1!$F$2:$XFD$61,S46+4,FALSE),0)</f>
        <v>0</v>
      </c>
      <c r="CB46">
        <f>IFERROR(VLOOKUP(CB$6,Hoja1!$F$2:$XFD$61,T46+4,FALSE),0)</f>
        <v>0</v>
      </c>
      <c r="CC46">
        <f>IFERROR(VLOOKUP(CC$6,Hoja1!$F$2:$XFD$61,U46+4,FALSE),0)</f>
        <v>0</v>
      </c>
      <c r="CD46">
        <f>IFERROR(VLOOKUP(CD$6,Hoja1!$F$2:$XFD$61,V46+4,FALSE),0)</f>
        <v>0</v>
      </c>
      <c r="CE46">
        <f>IFERROR(VLOOKUP(CE$6,Hoja1!$F$2:$XFD$61,W46+4,FALSE),0)</f>
        <v>0</v>
      </c>
      <c r="CF46">
        <f>IFERROR(VLOOKUP(CF$6,Hoja1!$F$2:$XFD$61,X46+4,FALSE),0)</f>
        <v>0</v>
      </c>
      <c r="CG46">
        <f>IFERROR(VLOOKUP(CG$6,Hoja1!$F$2:$XFD$61,Y46+4,FALSE),0)</f>
        <v>0</v>
      </c>
      <c r="CH46">
        <f>IFERROR(VLOOKUP(CH$6,Hoja1!$F$2:$XFD$61,Z46+4,FALSE),0)</f>
        <v>0</v>
      </c>
      <c r="CI46">
        <f>IFERROR(VLOOKUP(CI$6,Hoja1!$F$2:$XFD$61,AA46+4,FALSE),0)</f>
        <v>0</v>
      </c>
      <c r="CJ46">
        <f>IFERROR(VLOOKUP(CJ$6,Hoja1!$F$2:$XFD$61,AB46+4,FALSE),0)</f>
        <v>0</v>
      </c>
      <c r="CK46">
        <f>IFERROR(VLOOKUP(CK$6,Hoja1!$F$2:$XFD$61,AC46+4,FALSE),0)</f>
        <v>0</v>
      </c>
      <c r="CL46">
        <f>IFERROR(VLOOKUP(CL$6,Hoja1!$F$2:$XFD$61,AD46+4,FALSE),0)</f>
        <v>0</v>
      </c>
      <c r="CM46">
        <f>IFERROR(VLOOKUP(CM$6,Hoja1!$F$2:$XFD$61,AE46+4,FALSE),0)</f>
        <v>0</v>
      </c>
      <c r="CN46">
        <f>IFERROR(VLOOKUP(CN$6,Hoja1!$F$2:$XFD$61,AF46+4,FALSE),0)</f>
        <v>0</v>
      </c>
      <c r="CO46">
        <f>IFERROR(VLOOKUP(CO$6,Hoja1!$F$2:$XFD$61,AG46+4,FALSE),0)</f>
        <v>0</v>
      </c>
      <c r="CP46">
        <f>IFERROR(VLOOKUP(CP$6,Hoja1!$F$2:$XFD$61,AH46+4,FALSE),0)</f>
        <v>0</v>
      </c>
      <c r="CQ46">
        <f>IFERROR(VLOOKUP(CQ$6,Hoja1!$F$2:$XFD$61,AI46+4,FALSE),0)</f>
        <v>0</v>
      </c>
      <c r="CR46">
        <f>IFERROR(VLOOKUP(CR$6,Hoja1!$F$2:$XFD$61,AJ46+4,FALSE),0)</f>
        <v>0</v>
      </c>
      <c r="CS46">
        <f>IFERROR(VLOOKUP(CS$6,Hoja1!$F$2:$XFD$61,AK46+4,FALSE),0)</f>
        <v>0</v>
      </c>
      <c r="CT46">
        <f>IFERROR(VLOOKUP(CT$6,Hoja1!$F$2:$XFD$61,AL46+4,FALSE),0)</f>
        <v>0</v>
      </c>
      <c r="CU46">
        <f>IFERROR(VLOOKUP(CU$6,Hoja1!$F$2:$XFD$61,AM46+4,FALSE),0)</f>
        <v>0</v>
      </c>
      <c r="CV46">
        <f>IFERROR(VLOOKUP(CV$6,Hoja1!$F$2:$XFD$61,AN46+4,FALSE),0)</f>
        <v>0</v>
      </c>
      <c r="CW46">
        <f>IFERROR(VLOOKUP(CW$6,Hoja1!$F$2:$XFD$61,AO46+4,FALSE),0)</f>
        <v>0</v>
      </c>
      <c r="CX46">
        <f>IFERROR(VLOOKUP(CX$6,Hoja1!$F$2:$XFD$61,AP46+4,FALSE),0)</f>
        <v>0</v>
      </c>
      <c r="CY46">
        <f>IFERROR(VLOOKUP(CY$6,Hoja1!$F$2:$XFD$61,AQ46+4,FALSE),0)</f>
        <v>0</v>
      </c>
      <c r="CZ46">
        <f>IFERROR(VLOOKUP(CZ$6,Hoja1!$F$2:$XFD$61,AR46+4,FALSE),0)</f>
        <v>0</v>
      </c>
      <c r="DA46">
        <f>IFERROR(VLOOKUP(DA$6,Hoja1!$F$2:$XFD$61,AS46+4,FALSE),0)</f>
        <v>0</v>
      </c>
      <c r="DB46">
        <f>IFERROR(VLOOKUP(DB$6,Hoja1!$F$2:$XFD$61,AT46+4,FALSE),0)</f>
        <v>0</v>
      </c>
      <c r="DC46">
        <f>IFERROR(VLOOKUP(DC$6,Hoja1!$F$2:$XFD$61,AU46+4,FALSE),0)</f>
        <v>0</v>
      </c>
      <c r="DD46">
        <f>IFERROR(VLOOKUP(DD$6,Hoja1!$F$2:$XFD$61,AV46+4,FALSE),0)</f>
        <v>0</v>
      </c>
      <c r="DE46">
        <f>IFERROR(VLOOKUP(DE$6,Hoja1!$F$2:$XFD$61,AW46+4,FALSE),0)</f>
        <v>0</v>
      </c>
      <c r="DF46">
        <f>IFERROR(VLOOKUP(DF$6,Hoja1!$F$2:$XFD$61,AX46+4,FALSE),0)</f>
        <v>0</v>
      </c>
      <c r="DG46">
        <f>IFERROR(VLOOKUP(DG$6,Hoja1!$F$2:$XFD$61,AY46+4,FALSE),0)</f>
        <v>0</v>
      </c>
      <c r="DH46">
        <f>IFERROR(VLOOKUP(DH$6,Hoja1!$F$2:$XFD$61,AZ46+4,FALSE),0)</f>
        <v>0</v>
      </c>
      <c r="DI46">
        <f>IFERROR(VLOOKUP(DI$6,Hoja1!$F$2:$XFD$61,BA46+4,FALSE),0)</f>
        <v>0</v>
      </c>
      <c r="DJ46">
        <f>IFERROR(VLOOKUP(DJ$6,Hoja1!$F$2:$XFD$61,BB46+4,FALSE),0)</f>
        <v>0</v>
      </c>
      <c r="DK46">
        <f>IFERROR(VLOOKUP(DK$6,Hoja1!$F$2:$XFD$61,BC46+4,FALSE),0)</f>
        <v>0</v>
      </c>
      <c r="DL46">
        <f>IFERROR(VLOOKUP(DL$6,Hoja1!$F$2:$XFD$61,BD46+4,FALSE),0)</f>
        <v>0</v>
      </c>
      <c r="DM46">
        <f>IFERROR(VLOOKUP(DM$6,Hoja1!$F$2:$XFD$61,BE46+4,FALSE),0)</f>
        <v>0</v>
      </c>
      <c r="DN46">
        <f>IFERROR(VLOOKUP(DN$6,Hoja1!$F$2:$XFD$61,BF46+4,FALSE),0)</f>
        <v>0</v>
      </c>
      <c r="DO46">
        <f>IFERROR(VLOOKUP(DO$6,Hoja1!$F$2:$XFD$61,BG46+4,FALSE),0)</f>
        <v>0</v>
      </c>
      <c r="DP46">
        <f>IFERROR(VLOOKUP(DP$6,Hoja1!$F$2:$XFD$61,BH46+4,FALSE),0)</f>
        <v>0</v>
      </c>
      <c r="DQ46">
        <f>IFERROR(VLOOKUP(DQ$6,Hoja1!$F$2:$XFD$61,BI46+4,FALSE),0)</f>
        <v>0</v>
      </c>
      <c r="DR46">
        <f>IFERROR(VLOOKUP(DR$6,Hoja1!$F$2:$XFD$61,BJ46+4,FALSE),0)</f>
        <v>0</v>
      </c>
      <c r="DS46">
        <f>IFERROR(VLOOKUP(DS$6,Hoja1!$F$2:$XFD$61,BK46+4,FALSE),0)</f>
        <v>0</v>
      </c>
      <c r="DT46">
        <f>IFERROR(VLOOKUP(DT$6,Hoja1!$F$2:$XFD$61,BL46+4,FALSE),0)</f>
        <v>0</v>
      </c>
      <c r="DU46" s="15" t="str">
        <f t="shared" si="0"/>
        <v/>
      </c>
      <c r="DV46" s="16" t="str">
        <f>IF(D46&lt;&gt;"",IF(DU46="","",IF(DU46&gt;=$DU$7*Hoja1!$E$2,4+3/($DU$7*(1-Hoja1!$E$2))*(DU46-$DU$7*Hoja1!$E$2),1+3/($DU$7*Hoja1!$E$2)*DU46)),DU46)</f>
        <v/>
      </c>
      <c r="DW46" s="47" t="b">
        <v>0</v>
      </c>
    </row>
    <row r="47" spans="1:127" ht="23.25" customHeight="1" x14ac:dyDescent="0.25">
      <c r="A47" s="17">
        <v>38</v>
      </c>
      <c r="B47" s="18"/>
      <c r="C47" s="18"/>
      <c r="D47" s="1"/>
      <c r="E47" s="28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9"/>
      <c r="AA47" s="19"/>
      <c r="AB47" s="19"/>
      <c r="AC47" s="19"/>
      <c r="AD47" s="19"/>
      <c r="AE47" s="19"/>
      <c r="AF47" s="19"/>
      <c r="AG47" s="19"/>
      <c r="AH47" s="19"/>
      <c r="AI47" s="19"/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19"/>
      <c r="AZ47" s="19"/>
      <c r="BA47" s="19"/>
      <c r="BB47" s="19"/>
      <c r="BC47" s="19"/>
      <c r="BD47" s="19"/>
      <c r="BE47" s="19"/>
      <c r="BF47" s="19"/>
      <c r="BG47" s="19"/>
      <c r="BH47" s="19"/>
      <c r="BI47" s="19"/>
      <c r="BJ47" s="19"/>
      <c r="BK47" s="19"/>
      <c r="BL47" s="29"/>
      <c r="BM47">
        <f>IFERROR(VLOOKUP(BM$6,Hoja1!$F$2:$XFD$61,E47+4,FALSE),0)</f>
        <v>0</v>
      </c>
      <c r="BN47">
        <f>IFERROR(VLOOKUP(BN$6,Hoja1!$F$2:$XFD$61,F47+4,FALSE),0)</f>
        <v>0</v>
      </c>
      <c r="BO47">
        <f>IFERROR(VLOOKUP(BO$6,Hoja1!$F$2:$XFD$61,G47+4,FALSE),0)</f>
        <v>0</v>
      </c>
      <c r="BP47">
        <f>IFERROR(VLOOKUP(BP$6,Hoja1!$F$2:$XFD$61,H47+4,FALSE),0)</f>
        <v>0</v>
      </c>
      <c r="BQ47">
        <f>IFERROR(VLOOKUP(BQ$6,Hoja1!$F$2:$XFD$61,I47+4,FALSE),0)</f>
        <v>0</v>
      </c>
      <c r="BR47">
        <f>IFERROR(VLOOKUP(BR$6,Hoja1!$F$2:$XFD$61,J47+4,FALSE),0)</f>
        <v>0</v>
      </c>
      <c r="BS47">
        <f>IFERROR(VLOOKUP(BS$6,Hoja1!$F$2:$XFD$61,K47+4,FALSE),0)</f>
        <v>0</v>
      </c>
      <c r="BT47">
        <f>IFERROR(VLOOKUP(BT$6,Hoja1!$F$2:$XFD$61,L47+4,FALSE),0)</f>
        <v>0</v>
      </c>
      <c r="BU47">
        <f>IFERROR(VLOOKUP(BU$6,Hoja1!$F$2:$XFD$61,M47+4,FALSE),0)</f>
        <v>0</v>
      </c>
      <c r="BV47">
        <f>IFERROR(VLOOKUP(BV$6,Hoja1!$F$2:$XFD$61,N47+4,FALSE),0)</f>
        <v>0</v>
      </c>
      <c r="BW47">
        <f>IFERROR(VLOOKUP(BW$6,Hoja1!$F$2:$XFD$61,O47+4,FALSE),0)</f>
        <v>0</v>
      </c>
      <c r="BX47">
        <f>IFERROR(VLOOKUP(BX$6,Hoja1!$F$2:$XFD$61,P47+4,FALSE),0)</f>
        <v>0</v>
      </c>
      <c r="BY47">
        <f>IFERROR(VLOOKUP(BY$6,Hoja1!$F$2:$XFD$61,Q47+4,FALSE),0)</f>
        <v>0</v>
      </c>
      <c r="BZ47">
        <f>IFERROR(VLOOKUP(BZ$6,Hoja1!$F$2:$XFD$61,R47+4,FALSE),0)</f>
        <v>0</v>
      </c>
      <c r="CA47">
        <f>IFERROR(VLOOKUP(CA$6,Hoja1!$F$2:$XFD$61,S47+4,FALSE),0)</f>
        <v>0</v>
      </c>
      <c r="CB47">
        <f>IFERROR(VLOOKUP(CB$6,Hoja1!$F$2:$XFD$61,T47+4,FALSE),0)</f>
        <v>0</v>
      </c>
      <c r="CC47">
        <f>IFERROR(VLOOKUP(CC$6,Hoja1!$F$2:$XFD$61,U47+4,FALSE),0)</f>
        <v>0</v>
      </c>
      <c r="CD47">
        <f>IFERROR(VLOOKUP(CD$6,Hoja1!$F$2:$XFD$61,V47+4,FALSE),0)</f>
        <v>0</v>
      </c>
      <c r="CE47">
        <f>IFERROR(VLOOKUP(CE$6,Hoja1!$F$2:$XFD$61,W47+4,FALSE),0)</f>
        <v>0</v>
      </c>
      <c r="CF47">
        <f>IFERROR(VLOOKUP(CF$6,Hoja1!$F$2:$XFD$61,X47+4,FALSE),0)</f>
        <v>0</v>
      </c>
      <c r="CG47">
        <f>IFERROR(VLOOKUP(CG$6,Hoja1!$F$2:$XFD$61,Y47+4,FALSE),0)</f>
        <v>0</v>
      </c>
      <c r="CH47">
        <f>IFERROR(VLOOKUP(CH$6,Hoja1!$F$2:$XFD$61,Z47+4,FALSE),0)</f>
        <v>0</v>
      </c>
      <c r="CI47">
        <f>IFERROR(VLOOKUP(CI$6,Hoja1!$F$2:$XFD$61,AA47+4,FALSE),0)</f>
        <v>0</v>
      </c>
      <c r="CJ47">
        <f>IFERROR(VLOOKUP(CJ$6,Hoja1!$F$2:$XFD$61,AB47+4,FALSE),0)</f>
        <v>0</v>
      </c>
      <c r="CK47">
        <f>IFERROR(VLOOKUP(CK$6,Hoja1!$F$2:$XFD$61,AC47+4,FALSE),0)</f>
        <v>0</v>
      </c>
      <c r="CL47">
        <f>IFERROR(VLOOKUP(CL$6,Hoja1!$F$2:$XFD$61,AD47+4,FALSE),0)</f>
        <v>0</v>
      </c>
      <c r="CM47">
        <f>IFERROR(VLOOKUP(CM$6,Hoja1!$F$2:$XFD$61,AE47+4,FALSE),0)</f>
        <v>0</v>
      </c>
      <c r="CN47">
        <f>IFERROR(VLOOKUP(CN$6,Hoja1!$F$2:$XFD$61,AF47+4,FALSE),0)</f>
        <v>0</v>
      </c>
      <c r="CO47">
        <f>IFERROR(VLOOKUP(CO$6,Hoja1!$F$2:$XFD$61,AG47+4,FALSE),0)</f>
        <v>0</v>
      </c>
      <c r="CP47">
        <f>IFERROR(VLOOKUP(CP$6,Hoja1!$F$2:$XFD$61,AH47+4,FALSE),0)</f>
        <v>0</v>
      </c>
      <c r="CQ47">
        <f>IFERROR(VLOOKUP(CQ$6,Hoja1!$F$2:$XFD$61,AI47+4,FALSE),0)</f>
        <v>0</v>
      </c>
      <c r="CR47">
        <f>IFERROR(VLOOKUP(CR$6,Hoja1!$F$2:$XFD$61,AJ47+4,FALSE),0)</f>
        <v>0</v>
      </c>
      <c r="CS47">
        <f>IFERROR(VLOOKUP(CS$6,Hoja1!$F$2:$XFD$61,AK47+4,FALSE),0)</f>
        <v>0</v>
      </c>
      <c r="CT47">
        <f>IFERROR(VLOOKUP(CT$6,Hoja1!$F$2:$XFD$61,AL47+4,FALSE),0)</f>
        <v>0</v>
      </c>
      <c r="CU47">
        <f>IFERROR(VLOOKUP(CU$6,Hoja1!$F$2:$XFD$61,AM47+4,FALSE),0)</f>
        <v>0</v>
      </c>
      <c r="CV47">
        <f>IFERROR(VLOOKUP(CV$6,Hoja1!$F$2:$XFD$61,AN47+4,FALSE),0)</f>
        <v>0</v>
      </c>
      <c r="CW47">
        <f>IFERROR(VLOOKUP(CW$6,Hoja1!$F$2:$XFD$61,AO47+4,FALSE),0)</f>
        <v>0</v>
      </c>
      <c r="CX47">
        <f>IFERROR(VLOOKUP(CX$6,Hoja1!$F$2:$XFD$61,AP47+4,FALSE),0)</f>
        <v>0</v>
      </c>
      <c r="CY47">
        <f>IFERROR(VLOOKUP(CY$6,Hoja1!$F$2:$XFD$61,AQ47+4,FALSE),0)</f>
        <v>0</v>
      </c>
      <c r="CZ47">
        <f>IFERROR(VLOOKUP(CZ$6,Hoja1!$F$2:$XFD$61,AR47+4,FALSE),0)</f>
        <v>0</v>
      </c>
      <c r="DA47">
        <f>IFERROR(VLOOKUP(DA$6,Hoja1!$F$2:$XFD$61,AS47+4,FALSE),0)</f>
        <v>0</v>
      </c>
      <c r="DB47">
        <f>IFERROR(VLOOKUP(DB$6,Hoja1!$F$2:$XFD$61,AT47+4,FALSE),0)</f>
        <v>0</v>
      </c>
      <c r="DC47">
        <f>IFERROR(VLOOKUP(DC$6,Hoja1!$F$2:$XFD$61,AU47+4,FALSE),0)</f>
        <v>0</v>
      </c>
      <c r="DD47">
        <f>IFERROR(VLOOKUP(DD$6,Hoja1!$F$2:$XFD$61,AV47+4,FALSE),0)</f>
        <v>0</v>
      </c>
      <c r="DE47">
        <f>IFERROR(VLOOKUP(DE$6,Hoja1!$F$2:$XFD$61,AW47+4,FALSE),0)</f>
        <v>0</v>
      </c>
      <c r="DF47">
        <f>IFERROR(VLOOKUP(DF$6,Hoja1!$F$2:$XFD$61,AX47+4,FALSE),0)</f>
        <v>0</v>
      </c>
      <c r="DG47">
        <f>IFERROR(VLOOKUP(DG$6,Hoja1!$F$2:$XFD$61,AY47+4,FALSE),0)</f>
        <v>0</v>
      </c>
      <c r="DH47">
        <f>IFERROR(VLOOKUP(DH$6,Hoja1!$F$2:$XFD$61,AZ47+4,FALSE),0)</f>
        <v>0</v>
      </c>
      <c r="DI47">
        <f>IFERROR(VLOOKUP(DI$6,Hoja1!$F$2:$XFD$61,BA47+4,FALSE),0)</f>
        <v>0</v>
      </c>
      <c r="DJ47">
        <f>IFERROR(VLOOKUP(DJ$6,Hoja1!$F$2:$XFD$61,BB47+4,FALSE),0)</f>
        <v>0</v>
      </c>
      <c r="DK47">
        <f>IFERROR(VLOOKUP(DK$6,Hoja1!$F$2:$XFD$61,BC47+4,FALSE),0)</f>
        <v>0</v>
      </c>
      <c r="DL47">
        <f>IFERROR(VLOOKUP(DL$6,Hoja1!$F$2:$XFD$61,BD47+4,FALSE),0)</f>
        <v>0</v>
      </c>
      <c r="DM47">
        <f>IFERROR(VLOOKUP(DM$6,Hoja1!$F$2:$XFD$61,BE47+4,FALSE),0)</f>
        <v>0</v>
      </c>
      <c r="DN47">
        <f>IFERROR(VLOOKUP(DN$6,Hoja1!$F$2:$XFD$61,BF47+4,FALSE),0)</f>
        <v>0</v>
      </c>
      <c r="DO47">
        <f>IFERROR(VLOOKUP(DO$6,Hoja1!$F$2:$XFD$61,BG47+4,FALSE),0)</f>
        <v>0</v>
      </c>
      <c r="DP47">
        <f>IFERROR(VLOOKUP(DP$6,Hoja1!$F$2:$XFD$61,BH47+4,FALSE),0)</f>
        <v>0</v>
      </c>
      <c r="DQ47">
        <f>IFERROR(VLOOKUP(DQ$6,Hoja1!$F$2:$XFD$61,BI47+4,FALSE),0)</f>
        <v>0</v>
      </c>
      <c r="DR47">
        <f>IFERROR(VLOOKUP(DR$6,Hoja1!$F$2:$XFD$61,BJ47+4,FALSE),0)</f>
        <v>0</v>
      </c>
      <c r="DS47">
        <f>IFERROR(VLOOKUP(DS$6,Hoja1!$F$2:$XFD$61,BK47+4,FALSE),0)</f>
        <v>0</v>
      </c>
      <c r="DT47">
        <f>IFERROR(VLOOKUP(DT$6,Hoja1!$F$2:$XFD$61,BL47+4,FALSE),0)</f>
        <v>0</v>
      </c>
      <c r="DU47" s="15" t="str">
        <f t="shared" si="0"/>
        <v/>
      </c>
      <c r="DV47" s="16" t="str">
        <f>IF(D47&lt;&gt;"",IF(DU47="","",IF(DU47&gt;=$DU$7*Hoja1!$E$2,4+3/($DU$7*(1-Hoja1!$E$2))*(DU47-$DU$7*Hoja1!$E$2),1+3/($DU$7*Hoja1!$E$2)*DU47)),DU47)</f>
        <v/>
      </c>
      <c r="DW47" s="47" t="b">
        <v>0</v>
      </c>
    </row>
    <row r="48" spans="1:127" ht="23.25" customHeight="1" x14ac:dyDescent="0.25">
      <c r="A48" s="17">
        <v>39</v>
      </c>
      <c r="B48" s="18"/>
      <c r="C48" s="18"/>
      <c r="D48" s="1"/>
      <c r="E48" s="28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9"/>
      <c r="AA48" s="19"/>
      <c r="AB48" s="19"/>
      <c r="AC48" s="19"/>
      <c r="AD48" s="19"/>
      <c r="AE48" s="19"/>
      <c r="AF48" s="19"/>
      <c r="AG48" s="19"/>
      <c r="AH48" s="19"/>
      <c r="AI48" s="19"/>
      <c r="AJ48" s="19"/>
      <c r="AK48" s="19"/>
      <c r="AL48" s="19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AY48" s="19"/>
      <c r="AZ48" s="19"/>
      <c r="BA48" s="19"/>
      <c r="BB48" s="19"/>
      <c r="BC48" s="19"/>
      <c r="BD48" s="19"/>
      <c r="BE48" s="19"/>
      <c r="BF48" s="19"/>
      <c r="BG48" s="19"/>
      <c r="BH48" s="19"/>
      <c r="BI48" s="19"/>
      <c r="BJ48" s="19"/>
      <c r="BK48" s="19"/>
      <c r="BL48" s="29"/>
      <c r="BM48">
        <f>IFERROR(VLOOKUP(BM$6,Hoja1!$F$2:$XFD$61,E48+4,FALSE),0)</f>
        <v>0</v>
      </c>
      <c r="BN48">
        <f>IFERROR(VLOOKUP(BN$6,Hoja1!$F$2:$XFD$61,F48+4,FALSE),0)</f>
        <v>0</v>
      </c>
      <c r="BO48">
        <f>IFERROR(VLOOKUP(BO$6,Hoja1!$F$2:$XFD$61,G48+4,FALSE),0)</f>
        <v>0</v>
      </c>
      <c r="BP48">
        <f>IFERROR(VLOOKUP(BP$6,Hoja1!$F$2:$XFD$61,H48+4,FALSE),0)</f>
        <v>0</v>
      </c>
      <c r="BQ48">
        <f>IFERROR(VLOOKUP(BQ$6,Hoja1!$F$2:$XFD$61,I48+4,FALSE),0)</f>
        <v>0</v>
      </c>
      <c r="BR48">
        <f>IFERROR(VLOOKUP(BR$6,Hoja1!$F$2:$XFD$61,J48+4,FALSE),0)</f>
        <v>0</v>
      </c>
      <c r="BS48">
        <f>IFERROR(VLOOKUP(BS$6,Hoja1!$F$2:$XFD$61,K48+4,FALSE),0)</f>
        <v>0</v>
      </c>
      <c r="BT48">
        <f>IFERROR(VLOOKUP(BT$6,Hoja1!$F$2:$XFD$61,L48+4,FALSE),0)</f>
        <v>0</v>
      </c>
      <c r="BU48">
        <f>IFERROR(VLOOKUP(BU$6,Hoja1!$F$2:$XFD$61,M48+4,FALSE),0)</f>
        <v>0</v>
      </c>
      <c r="BV48">
        <f>IFERROR(VLOOKUP(BV$6,Hoja1!$F$2:$XFD$61,N48+4,FALSE),0)</f>
        <v>0</v>
      </c>
      <c r="BW48">
        <f>IFERROR(VLOOKUP(BW$6,Hoja1!$F$2:$XFD$61,O48+4,FALSE),0)</f>
        <v>0</v>
      </c>
      <c r="BX48">
        <f>IFERROR(VLOOKUP(BX$6,Hoja1!$F$2:$XFD$61,P48+4,FALSE),0)</f>
        <v>0</v>
      </c>
      <c r="BY48">
        <f>IFERROR(VLOOKUP(BY$6,Hoja1!$F$2:$XFD$61,Q48+4,FALSE),0)</f>
        <v>0</v>
      </c>
      <c r="BZ48">
        <f>IFERROR(VLOOKUP(BZ$6,Hoja1!$F$2:$XFD$61,R48+4,FALSE),0)</f>
        <v>0</v>
      </c>
      <c r="CA48">
        <f>IFERROR(VLOOKUP(CA$6,Hoja1!$F$2:$XFD$61,S48+4,FALSE),0)</f>
        <v>0</v>
      </c>
      <c r="CB48">
        <f>IFERROR(VLOOKUP(CB$6,Hoja1!$F$2:$XFD$61,T48+4,FALSE),0)</f>
        <v>0</v>
      </c>
      <c r="CC48">
        <f>IFERROR(VLOOKUP(CC$6,Hoja1!$F$2:$XFD$61,U48+4,FALSE),0)</f>
        <v>0</v>
      </c>
      <c r="CD48">
        <f>IFERROR(VLOOKUP(CD$6,Hoja1!$F$2:$XFD$61,V48+4,FALSE),0)</f>
        <v>0</v>
      </c>
      <c r="CE48">
        <f>IFERROR(VLOOKUP(CE$6,Hoja1!$F$2:$XFD$61,W48+4,FALSE),0)</f>
        <v>0</v>
      </c>
      <c r="CF48">
        <f>IFERROR(VLOOKUP(CF$6,Hoja1!$F$2:$XFD$61,X48+4,FALSE),0)</f>
        <v>0</v>
      </c>
      <c r="CG48">
        <f>IFERROR(VLOOKUP(CG$6,Hoja1!$F$2:$XFD$61,Y48+4,FALSE),0)</f>
        <v>0</v>
      </c>
      <c r="CH48">
        <f>IFERROR(VLOOKUP(CH$6,Hoja1!$F$2:$XFD$61,Z48+4,FALSE),0)</f>
        <v>0</v>
      </c>
      <c r="CI48">
        <f>IFERROR(VLOOKUP(CI$6,Hoja1!$F$2:$XFD$61,AA48+4,FALSE),0)</f>
        <v>0</v>
      </c>
      <c r="CJ48">
        <f>IFERROR(VLOOKUP(CJ$6,Hoja1!$F$2:$XFD$61,AB48+4,FALSE),0)</f>
        <v>0</v>
      </c>
      <c r="CK48">
        <f>IFERROR(VLOOKUP(CK$6,Hoja1!$F$2:$XFD$61,AC48+4,FALSE),0)</f>
        <v>0</v>
      </c>
      <c r="CL48">
        <f>IFERROR(VLOOKUP(CL$6,Hoja1!$F$2:$XFD$61,AD48+4,FALSE),0)</f>
        <v>0</v>
      </c>
      <c r="CM48">
        <f>IFERROR(VLOOKUP(CM$6,Hoja1!$F$2:$XFD$61,AE48+4,FALSE),0)</f>
        <v>0</v>
      </c>
      <c r="CN48">
        <f>IFERROR(VLOOKUP(CN$6,Hoja1!$F$2:$XFD$61,AF48+4,FALSE),0)</f>
        <v>0</v>
      </c>
      <c r="CO48">
        <f>IFERROR(VLOOKUP(CO$6,Hoja1!$F$2:$XFD$61,AG48+4,FALSE),0)</f>
        <v>0</v>
      </c>
      <c r="CP48">
        <f>IFERROR(VLOOKUP(CP$6,Hoja1!$F$2:$XFD$61,AH48+4,FALSE),0)</f>
        <v>0</v>
      </c>
      <c r="CQ48">
        <f>IFERROR(VLOOKUP(CQ$6,Hoja1!$F$2:$XFD$61,AI48+4,FALSE),0)</f>
        <v>0</v>
      </c>
      <c r="CR48">
        <f>IFERROR(VLOOKUP(CR$6,Hoja1!$F$2:$XFD$61,AJ48+4,FALSE),0)</f>
        <v>0</v>
      </c>
      <c r="CS48">
        <f>IFERROR(VLOOKUP(CS$6,Hoja1!$F$2:$XFD$61,AK48+4,FALSE),0)</f>
        <v>0</v>
      </c>
      <c r="CT48">
        <f>IFERROR(VLOOKUP(CT$6,Hoja1!$F$2:$XFD$61,AL48+4,FALSE),0)</f>
        <v>0</v>
      </c>
      <c r="CU48">
        <f>IFERROR(VLOOKUP(CU$6,Hoja1!$F$2:$XFD$61,AM48+4,FALSE),0)</f>
        <v>0</v>
      </c>
      <c r="CV48">
        <f>IFERROR(VLOOKUP(CV$6,Hoja1!$F$2:$XFD$61,AN48+4,FALSE),0)</f>
        <v>0</v>
      </c>
      <c r="CW48">
        <f>IFERROR(VLOOKUP(CW$6,Hoja1!$F$2:$XFD$61,AO48+4,FALSE),0)</f>
        <v>0</v>
      </c>
      <c r="CX48">
        <f>IFERROR(VLOOKUP(CX$6,Hoja1!$F$2:$XFD$61,AP48+4,FALSE),0)</f>
        <v>0</v>
      </c>
      <c r="CY48">
        <f>IFERROR(VLOOKUP(CY$6,Hoja1!$F$2:$XFD$61,AQ48+4,FALSE),0)</f>
        <v>0</v>
      </c>
      <c r="CZ48">
        <f>IFERROR(VLOOKUP(CZ$6,Hoja1!$F$2:$XFD$61,AR48+4,FALSE),0)</f>
        <v>0</v>
      </c>
      <c r="DA48">
        <f>IFERROR(VLOOKUP(DA$6,Hoja1!$F$2:$XFD$61,AS48+4,FALSE),0)</f>
        <v>0</v>
      </c>
      <c r="DB48">
        <f>IFERROR(VLOOKUP(DB$6,Hoja1!$F$2:$XFD$61,AT48+4,FALSE),0)</f>
        <v>0</v>
      </c>
      <c r="DC48">
        <f>IFERROR(VLOOKUP(DC$6,Hoja1!$F$2:$XFD$61,AU48+4,FALSE),0)</f>
        <v>0</v>
      </c>
      <c r="DD48">
        <f>IFERROR(VLOOKUP(DD$6,Hoja1!$F$2:$XFD$61,AV48+4,FALSE),0)</f>
        <v>0</v>
      </c>
      <c r="DE48">
        <f>IFERROR(VLOOKUP(DE$6,Hoja1!$F$2:$XFD$61,AW48+4,FALSE),0)</f>
        <v>0</v>
      </c>
      <c r="DF48">
        <f>IFERROR(VLOOKUP(DF$6,Hoja1!$F$2:$XFD$61,AX48+4,FALSE),0)</f>
        <v>0</v>
      </c>
      <c r="DG48">
        <f>IFERROR(VLOOKUP(DG$6,Hoja1!$F$2:$XFD$61,AY48+4,FALSE),0)</f>
        <v>0</v>
      </c>
      <c r="DH48">
        <f>IFERROR(VLOOKUP(DH$6,Hoja1!$F$2:$XFD$61,AZ48+4,FALSE),0)</f>
        <v>0</v>
      </c>
      <c r="DI48">
        <f>IFERROR(VLOOKUP(DI$6,Hoja1!$F$2:$XFD$61,BA48+4,FALSE),0)</f>
        <v>0</v>
      </c>
      <c r="DJ48">
        <f>IFERROR(VLOOKUP(DJ$6,Hoja1!$F$2:$XFD$61,BB48+4,FALSE),0)</f>
        <v>0</v>
      </c>
      <c r="DK48">
        <f>IFERROR(VLOOKUP(DK$6,Hoja1!$F$2:$XFD$61,BC48+4,FALSE),0)</f>
        <v>0</v>
      </c>
      <c r="DL48">
        <f>IFERROR(VLOOKUP(DL$6,Hoja1!$F$2:$XFD$61,BD48+4,FALSE),0)</f>
        <v>0</v>
      </c>
      <c r="DM48">
        <f>IFERROR(VLOOKUP(DM$6,Hoja1!$F$2:$XFD$61,BE48+4,FALSE),0)</f>
        <v>0</v>
      </c>
      <c r="DN48">
        <f>IFERROR(VLOOKUP(DN$6,Hoja1!$F$2:$XFD$61,BF48+4,FALSE),0)</f>
        <v>0</v>
      </c>
      <c r="DO48">
        <f>IFERROR(VLOOKUP(DO$6,Hoja1!$F$2:$XFD$61,BG48+4,FALSE),0)</f>
        <v>0</v>
      </c>
      <c r="DP48">
        <f>IFERROR(VLOOKUP(DP$6,Hoja1!$F$2:$XFD$61,BH48+4,FALSE),0)</f>
        <v>0</v>
      </c>
      <c r="DQ48">
        <f>IFERROR(VLOOKUP(DQ$6,Hoja1!$F$2:$XFD$61,BI48+4,FALSE),0)</f>
        <v>0</v>
      </c>
      <c r="DR48">
        <f>IFERROR(VLOOKUP(DR$6,Hoja1!$F$2:$XFD$61,BJ48+4,FALSE),0)</f>
        <v>0</v>
      </c>
      <c r="DS48">
        <f>IFERROR(VLOOKUP(DS$6,Hoja1!$F$2:$XFD$61,BK48+4,FALSE),0)</f>
        <v>0</v>
      </c>
      <c r="DT48">
        <f>IFERROR(VLOOKUP(DT$6,Hoja1!$F$2:$XFD$61,BL48+4,FALSE),0)</f>
        <v>0</v>
      </c>
      <c r="DU48" s="15" t="str">
        <f t="shared" si="0"/>
        <v/>
      </c>
      <c r="DV48" s="16" t="str">
        <f>IF(D48&lt;&gt;"",IF(DU48="","",IF(DU48&gt;=$DU$7*Hoja1!$E$2,4+3/($DU$7*(1-Hoja1!$E$2))*(DU48-$DU$7*Hoja1!$E$2),1+3/($DU$7*Hoja1!$E$2)*DU48)),DU48)</f>
        <v/>
      </c>
      <c r="DW48" s="47" t="b">
        <v>0</v>
      </c>
    </row>
    <row r="49" spans="1:127" ht="23.25" customHeight="1" x14ac:dyDescent="0.25">
      <c r="A49" s="17">
        <v>40</v>
      </c>
      <c r="B49" s="18"/>
      <c r="C49" s="18"/>
      <c r="D49" s="1"/>
      <c r="E49" s="28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9"/>
      <c r="AA49" s="19"/>
      <c r="AB49" s="19"/>
      <c r="AC49" s="19"/>
      <c r="AD49" s="19"/>
      <c r="AE49" s="19"/>
      <c r="AF49" s="19"/>
      <c r="AG49" s="19"/>
      <c r="AH49" s="19"/>
      <c r="AI49" s="19"/>
      <c r="AJ49" s="19"/>
      <c r="AK49" s="19"/>
      <c r="AL49" s="19"/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  <c r="AY49" s="19"/>
      <c r="AZ49" s="19"/>
      <c r="BA49" s="19"/>
      <c r="BB49" s="19"/>
      <c r="BC49" s="19"/>
      <c r="BD49" s="19"/>
      <c r="BE49" s="19"/>
      <c r="BF49" s="19"/>
      <c r="BG49" s="19"/>
      <c r="BH49" s="19"/>
      <c r="BI49" s="19"/>
      <c r="BJ49" s="19"/>
      <c r="BK49" s="19"/>
      <c r="BL49" s="29"/>
      <c r="BM49">
        <f>IFERROR(VLOOKUP(BM$6,Hoja1!$F$2:$XFD$61,E49+4,FALSE),0)</f>
        <v>0</v>
      </c>
      <c r="BN49">
        <f>IFERROR(VLOOKUP(BN$6,Hoja1!$F$2:$XFD$61,F49+4,FALSE),0)</f>
        <v>0</v>
      </c>
      <c r="BO49">
        <f>IFERROR(VLOOKUP(BO$6,Hoja1!$F$2:$XFD$61,G49+4,FALSE),0)</f>
        <v>0</v>
      </c>
      <c r="BP49">
        <f>IFERROR(VLOOKUP(BP$6,Hoja1!$F$2:$XFD$61,H49+4,FALSE),0)</f>
        <v>0</v>
      </c>
      <c r="BQ49">
        <f>IFERROR(VLOOKUP(BQ$6,Hoja1!$F$2:$XFD$61,I49+4,FALSE),0)</f>
        <v>0</v>
      </c>
      <c r="BR49">
        <f>IFERROR(VLOOKUP(BR$6,Hoja1!$F$2:$XFD$61,J49+4,FALSE),0)</f>
        <v>0</v>
      </c>
      <c r="BS49">
        <f>IFERROR(VLOOKUP(BS$6,Hoja1!$F$2:$XFD$61,K49+4,FALSE),0)</f>
        <v>0</v>
      </c>
      <c r="BT49">
        <f>IFERROR(VLOOKUP(BT$6,Hoja1!$F$2:$XFD$61,L49+4,FALSE),0)</f>
        <v>0</v>
      </c>
      <c r="BU49">
        <f>IFERROR(VLOOKUP(BU$6,Hoja1!$F$2:$XFD$61,M49+4,FALSE),0)</f>
        <v>0</v>
      </c>
      <c r="BV49">
        <f>IFERROR(VLOOKUP(BV$6,Hoja1!$F$2:$XFD$61,N49+4,FALSE),0)</f>
        <v>0</v>
      </c>
      <c r="BW49">
        <f>IFERROR(VLOOKUP(BW$6,Hoja1!$F$2:$XFD$61,O49+4,FALSE),0)</f>
        <v>0</v>
      </c>
      <c r="BX49">
        <f>IFERROR(VLOOKUP(BX$6,Hoja1!$F$2:$XFD$61,P49+4,FALSE),0)</f>
        <v>0</v>
      </c>
      <c r="BY49">
        <f>IFERROR(VLOOKUP(BY$6,Hoja1!$F$2:$XFD$61,Q49+4,FALSE),0)</f>
        <v>0</v>
      </c>
      <c r="BZ49">
        <f>IFERROR(VLOOKUP(BZ$6,Hoja1!$F$2:$XFD$61,R49+4,FALSE),0)</f>
        <v>0</v>
      </c>
      <c r="CA49">
        <f>IFERROR(VLOOKUP(CA$6,Hoja1!$F$2:$XFD$61,S49+4,FALSE),0)</f>
        <v>0</v>
      </c>
      <c r="CB49">
        <f>IFERROR(VLOOKUP(CB$6,Hoja1!$F$2:$XFD$61,T49+4,FALSE),0)</f>
        <v>0</v>
      </c>
      <c r="CC49">
        <f>IFERROR(VLOOKUP(CC$6,Hoja1!$F$2:$XFD$61,U49+4,FALSE),0)</f>
        <v>0</v>
      </c>
      <c r="CD49">
        <f>IFERROR(VLOOKUP(CD$6,Hoja1!$F$2:$XFD$61,V49+4,FALSE),0)</f>
        <v>0</v>
      </c>
      <c r="CE49">
        <f>IFERROR(VLOOKUP(CE$6,Hoja1!$F$2:$XFD$61,W49+4,FALSE),0)</f>
        <v>0</v>
      </c>
      <c r="CF49">
        <f>IFERROR(VLOOKUP(CF$6,Hoja1!$F$2:$XFD$61,X49+4,FALSE),0)</f>
        <v>0</v>
      </c>
      <c r="CG49">
        <f>IFERROR(VLOOKUP(CG$6,Hoja1!$F$2:$XFD$61,Y49+4,FALSE),0)</f>
        <v>0</v>
      </c>
      <c r="CH49">
        <f>IFERROR(VLOOKUP(CH$6,Hoja1!$F$2:$XFD$61,Z49+4,FALSE),0)</f>
        <v>0</v>
      </c>
      <c r="CI49">
        <f>IFERROR(VLOOKUP(CI$6,Hoja1!$F$2:$XFD$61,AA49+4,FALSE),0)</f>
        <v>0</v>
      </c>
      <c r="CJ49">
        <f>IFERROR(VLOOKUP(CJ$6,Hoja1!$F$2:$XFD$61,AB49+4,FALSE),0)</f>
        <v>0</v>
      </c>
      <c r="CK49">
        <f>IFERROR(VLOOKUP(CK$6,Hoja1!$F$2:$XFD$61,AC49+4,FALSE),0)</f>
        <v>0</v>
      </c>
      <c r="CL49">
        <f>IFERROR(VLOOKUP(CL$6,Hoja1!$F$2:$XFD$61,AD49+4,FALSE),0)</f>
        <v>0</v>
      </c>
      <c r="CM49">
        <f>IFERROR(VLOOKUP(CM$6,Hoja1!$F$2:$XFD$61,AE49+4,FALSE),0)</f>
        <v>0</v>
      </c>
      <c r="CN49">
        <f>IFERROR(VLOOKUP(CN$6,Hoja1!$F$2:$XFD$61,AF49+4,FALSE),0)</f>
        <v>0</v>
      </c>
      <c r="CO49">
        <f>IFERROR(VLOOKUP(CO$6,Hoja1!$F$2:$XFD$61,AG49+4,FALSE),0)</f>
        <v>0</v>
      </c>
      <c r="CP49">
        <f>IFERROR(VLOOKUP(CP$6,Hoja1!$F$2:$XFD$61,AH49+4,FALSE),0)</f>
        <v>0</v>
      </c>
      <c r="CQ49">
        <f>IFERROR(VLOOKUP(CQ$6,Hoja1!$F$2:$XFD$61,AI49+4,FALSE),0)</f>
        <v>0</v>
      </c>
      <c r="CR49">
        <f>IFERROR(VLOOKUP(CR$6,Hoja1!$F$2:$XFD$61,AJ49+4,FALSE),0)</f>
        <v>0</v>
      </c>
      <c r="CS49">
        <f>IFERROR(VLOOKUP(CS$6,Hoja1!$F$2:$XFD$61,AK49+4,FALSE),0)</f>
        <v>0</v>
      </c>
      <c r="CT49">
        <f>IFERROR(VLOOKUP(CT$6,Hoja1!$F$2:$XFD$61,AL49+4,FALSE),0)</f>
        <v>0</v>
      </c>
      <c r="CU49">
        <f>IFERROR(VLOOKUP(CU$6,Hoja1!$F$2:$XFD$61,AM49+4,FALSE),0)</f>
        <v>0</v>
      </c>
      <c r="CV49">
        <f>IFERROR(VLOOKUP(CV$6,Hoja1!$F$2:$XFD$61,AN49+4,FALSE),0)</f>
        <v>0</v>
      </c>
      <c r="CW49">
        <f>IFERROR(VLOOKUP(CW$6,Hoja1!$F$2:$XFD$61,AO49+4,FALSE),0)</f>
        <v>0</v>
      </c>
      <c r="CX49">
        <f>IFERROR(VLOOKUP(CX$6,Hoja1!$F$2:$XFD$61,AP49+4,FALSE),0)</f>
        <v>0</v>
      </c>
      <c r="CY49">
        <f>IFERROR(VLOOKUP(CY$6,Hoja1!$F$2:$XFD$61,AQ49+4,FALSE),0)</f>
        <v>0</v>
      </c>
      <c r="CZ49">
        <f>IFERROR(VLOOKUP(CZ$6,Hoja1!$F$2:$XFD$61,AR49+4,FALSE),0)</f>
        <v>0</v>
      </c>
      <c r="DA49">
        <f>IFERROR(VLOOKUP(DA$6,Hoja1!$F$2:$XFD$61,AS49+4,FALSE),0)</f>
        <v>0</v>
      </c>
      <c r="DB49">
        <f>IFERROR(VLOOKUP(DB$6,Hoja1!$F$2:$XFD$61,AT49+4,FALSE),0)</f>
        <v>0</v>
      </c>
      <c r="DC49">
        <f>IFERROR(VLOOKUP(DC$6,Hoja1!$F$2:$XFD$61,AU49+4,FALSE),0)</f>
        <v>0</v>
      </c>
      <c r="DD49">
        <f>IFERROR(VLOOKUP(DD$6,Hoja1!$F$2:$XFD$61,AV49+4,FALSE),0)</f>
        <v>0</v>
      </c>
      <c r="DE49">
        <f>IFERROR(VLOOKUP(DE$6,Hoja1!$F$2:$XFD$61,AW49+4,FALSE),0)</f>
        <v>0</v>
      </c>
      <c r="DF49">
        <f>IFERROR(VLOOKUP(DF$6,Hoja1!$F$2:$XFD$61,AX49+4,FALSE),0)</f>
        <v>0</v>
      </c>
      <c r="DG49">
        <f>IFERROR(VLOOKUP(DG$6,Hoja1!$F$2:$XFD$61,AY49+4,FALSE),0)</f>
        <v>0</v>
      </c>
      <c r="DH49">
        <f>IFERROR(VLOOKUP(DH$6,Hoja1!$F$2:$XFD$61,AZ49+4,FALSE),0)</f>
        <v>0</v>
      </c>
      <c r="DI49">
        <f>IFERROR(VLOOKUP(DI$6,Hoja1!$F$2:$XFD$61,BA49+4,FALSE),0)</f>
        <v>0</v>
      </c>
      <c r="DJ49">
        <f>IFERROR(VLOOKUP(DJ$6,Hoja1!$F$2:$XFD$61,BB49+4,FALSE),0)</f>
        <v>0</v>
      </c>
      <c r="DK49">
        <f>IFERROR(VLOOKUP(DK$6,Hoja1!$F$2:$XFD$61,BC49+4,FALSE),0)</f>
        <v>0</v>
      </c>
      <c r="DL49">
        <f>IFERROR(VLOOKUP(DL$6,Hoja1!$F$2:$XFD$61,BD49+4,FALSE),0)</f>
        <v>0</v>
      </c>
      <c r="DM49">
        <f>IFERROR(VLOOKUP(DM$6,Hoja1!$F$2:$XFD$61,BE49+4,FALSE),0)</f>
        <v>0</v>
      </c>
      <c r="DN49">
        <f>IFERROR(VLOOKUP(DN$6,Hoja1!$F$2:$XFD$61,BF49+4,FALSE),0)</f>
        <v>0</v>
      </c>
      <c r="DO49">
        <f>IFERROR(VLOOKUP(DO$6,Hoja1!$F$2:$XFD$61,BG49+4,FALSE),0)</f>
        <v>0</v>
      </c>
      <c r="DP49">
        <f>IFERROR(VLOOKUP(DP$6,Hoja1!$F$2:$XFD$61,BH49+4,FALSE),0)</f>
        <v>0</v>
      </c>
      <c r="DQ49">
        <f>IFERROR(VLOOKUP(DQ$6,Hoja1!$F$2:$XFD$61,BI49+4,FALSE),0)</f>
        <v>0</v>
      </c>
      <c r="DR49">
        <f>IFERROR(VLOOKUP(DR$6,Hoja1!$F$2:$XFD$61,BJ49+4,FALSE),0)</f>
        <v>0</v>
      </c>
      <c r="DS49">
        <f>IFERROR(VLOOKUP(DS$6,Hoja1!$F$2:$XFD$61,BK49+4,FALSE),0)</f>
        <v>0</v>
      </c>
      <c r="DT49">
        <f>IFERROR(VLOOKUP(DT$6,Hoja1!$F$2:$XFD$61,BL49+4,FALSE),0)</f>
        <v>0</v>
      </c>
      <c r="DU49" s="15" t="str">
        <f t="shared" si="0"/>
        <v/>
      </c>
      <c r="DV49" s="16" t="str">
        <f>IF(D49&lt;&gt;"",IF(DU49="","",IF(DU49&gt;=$DU$7*Hoja1!$E$2,4+3/($DU$7*(1-Hoja1!$E$2))*(DU49-$DU$7*Hoja1!$E$2),1+3/($DU$7*Hoja1!$E$2)*DU49)),DU49)</f>
        <v/>
      </c>
      <c r="DW49" s="47" t="b">
        <v>0</v>
      </c>
    </row>
    <row r="50" spans="1:127" ht="23.25" customHeight="1" x14ac:dyDescent="0.25">
      <c r="A50" s="17">
        <v>41</v>
      </c>
      <c r="B50" s="18"/>
      <c r="C50" s="18"/>
      <c r="D50" s="1"/>
      <c r="E50" s="28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9"/>
      <c r="AA50" s="19"/>
      <c r="AB50" s="19"/>
      <c r="AC50" s="19"/>
      <c r="AD50" s="19"/>
      <c r="AE50" s="19"/>
      <c r="AF50" s="19"/>
      <c r="AG50" s="19"/>
      <c r="AH50" s="19"/>
      <c r="AI50" s="19"/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9"/>
      <c r="AZ50" s="19"/>
      <c r="BA50" s="19"/>
      <c r="BB50" s="19"/>
      <c r="BC50" s="19"/>
      <c r="BD50" s="19"/>
      <c r="BE50" s="19"/>
      <c r="BF50" s="19"/>
      <c r="BG50" s="19"/>
      <c r="BH50" s="19"/>
      <c r="BI50" s="19"/>
      <c r="BJ50" s="19"/>
      <c r="BK50" s="19"/>
      <c r="BL50" s="29"/>
      <c r="BM50">
        <f>IFERROR(VLOOKUP(BM$6,Hoja1!$F$2:$XFD$61,E50+4,FALSE),0)</f>
        <v>0</v>
      </c>
      <c r="BN50">
        <f>IFERROR(VLOOKUP(BN$6,Hoja1!$F$2:$XFD$61,F50+4,FALSE),0)</f>
        <v>0</v>
      </c>
      <c r="BO50">
        <f>IFERROR(VLOOKUP(BO$6,Hoja1!$F$2:$XFD$61,G50+4,FALSE),0)</f>
        <v>0</v>
      </c>
      <c r="BP50">
        <f>IFERROR(VLOOKUP(BP$6,Hoja1!$F$2:$XFD$61,H50+4,FALSE),0)</f>
        <v>0</v>
      </c>
      <c r="BQ50">
        <f>IFERROR(VLOOKUP(BQ$6,Hoja1!$F$2:$XFD$61,I50+4,FALSE),0)</f>
        <v>0</v>
      </c>
      <c r="BR50">
        <f>IFERROR(VLOOKUP(BR$6,Hoja1!$F$2:$XFD$61,J50+4,FALSE),0)</f>
        <v>0</v>
      </c>
      <c r="BS50">
        <f>IFERROR(VLOOKUP(BS$6,Hoja1!$F$2:$XFD$61,K50+4,FALSE),0)</f>
        <v>0</v>
      </c>
      <c r="BT50">
        <f>IFERROR(VLOOKUP(BT$6,Hoja1!$F$2:$XFD$61,L50+4,FALSE),0)</f>
        <v>0</v>
      </c>
      <c r="BU50">
        <f>IFERROR(VLOOKUP(BU$6,Hoja1!$F$2:$XFD$61,M50+4,FALSE),0)</f>
        <v>0</v>
      </c>
      <c r="BV50">
        <f>IFERROR(VLOOKUP(BV$6,Hoja1!$F$2:$XFD$61,N50+4,FALSE),0)</f>
        <v>0</v>
      </c>
      <c r="BW50">
        <f>IFERROR(VLOOKUP(BW$6,Hoja1!$F$2:$XFD$61,O50+4,FALSE),0)</f>
        <v>0</v>
      </c>
      <c r="BX50">
        <f>IFERROR(VLOOKUP(BX$6,Hoja1!$F$2:$XFD$61,P50+4,FALSE),0)</f>
        <v>0</v>
      </c>
      <c r="BY50">
        <f>IFERROR(VLOOKUP(BY$6,Hoja1!$F$2:$XFD$61,Q50+4,FALSE),0)</f>
        <v>0</v>
      </c>
      <c r="BZ50">
        <f>IFERROR(VLOOKUP(BZ$6,Hoja1!$F$2:$XFD$61,R50+4,FALSE),0)</f>
        <v>0</v>
      </c>
      <c r="CA50">
        <f>IFERROR(VLOOKUP(CA$6,Hoja1!$F$2:$XFD$61,S50+4,FALSE),0)</f>
        <v>0</v>
      </c>
      <c r="CB50">
        <f>IFERROR(VLOOKUP(CB$6,Hoja1!$F$2:$XFD$61,T50+4,FALSE),0)</f>
        <v>0</v>
      </c>
      <c r="CC50">
        <f>IFERROR(VLOOKUP(CC$6,Hoja1!$F$2:$XFD$61,U50+4,FALSE),0)</f>
        <v>0</v>
      </c>
      <c r="CD50">
        <f>IFERROR(VLOOKUP(CD$6,Hoja1!$F$2:$XFD$61,V50+4,FALSE),0)</f>
        <v>0</v>
      </c>
      <c r="CE50">
        <f>IFERROR(VLOOKUP(CE$6,Hoja1!$F$2:$XFD$61,W50+4,FALSE),0)</f>
        <v>0</v>
      </c>
      <c r="CF50">
        <f>IFERROR(VLOOKUP(CF$6,Hoja1!$F$2:$XFD$61,X50+4,FALSE),0)</f>
        <v>0</v>
      </c>
      <c r="CG50">
        <f>IFERROR(VLOOKUP(CG$6,Hoja1!$F$2:$XFD$61,Y50+4,FALSE),0)</f>
        <v>0</v>
      </c>
      <c r="CH50">
        <f>IFERROR(VLOOKUP(CH$6,Hoja1!$F$2:$XFD$61,Z50+4,FALSE),0)</f>
        <v>0</v>
      </c>
      <c r="CI50">
        <f>IFERROR(VLOOKUP(CI$6,Hoja1!$F$2:$XFD$61,AA50+4,FALSE),0)</f>
        <v>0</v>
      </c>
      <c r="CJ50">
        <f>IFERROR(VLOOKUP(CJ$6,Hoja1!$F$2:$XFD$61,AB50+4,FALSE),0)</f>
        <v>0</v>
      </c>
      <c r="CK50">
        <f>IFERROR(VLOOKUP(CK$6,Hoja1!$F$2:$XFD$61,AC50+4,FALSE),0)</f>
        <v>0</v>
      </c>
      <c r="CL50">
        <f>IFERROR(VLOOKUP(CL$6,Hoja1!$F$2:$XFD$61,AD50+4,FALSE),0)</f>
        <v>0</v>
      </c>
      <c r="CM50">
        <f>IFERROR(VLOOKUP(CM$6,Hoja1!$F$2:$XFD$61,AE50+4,FALSE),0)</f>
        <v>0</v>
      </c>
      <c r="CN50">
        <f>IFERROR(VLOOKUP(CN$6,Hoja1!$F$2:$XFD$61,AF50+4,FALSE),0)</f>
        <v>0</v>
      </c>
      <c r="CO50">
        <f>IFERROR(VLOOKUP(CO$6,Hoja1!$F$2:$XFD$61,AG50+4,FALSE),0)</f>
        <v>0</v>
      </c>
      <c r="CP50">
        <f>IFERROR(VLOOKUP(CP$6,Hoja1!$F$2:$XFD$61,AH50+4,FALSE),0)</f>
        <v>0</v>
      </c>
      <c r="CQ50">
        <f>IFERROR(VLOOKUP(CQ$6,Hoja1!$F$2:$XFD$61,AI50+4,FALSE),0)</f>
        <v>0</v>
      </c>
      <c r="CR50">
        <f>IFERROR(VLOOKUP(CR$6,Hoja1!$F$2:$XFD$61,AJ50+4,FALSE),0)</f>
        <v>0</v>
      </c>
      <c r="CS50">
        <f>IFERROR(VLOOKUP(CS$6,Hoja1!$F$2:$XFD$61,AK50+4,FALSE),0)</f>
        <v>0</v>
      </c>
      <c r="CT50">
        <f>IFERROR(VLOOKUP(CT$6,Hoja1!$F$2:$XFD$61,AL50+4,FALSE),0)</f>
        <v>0</v>
      </c>
      <c r="CU50">
        <f>IFERROR(VLOOKUP(CU$6,Hoja1!$F$2:$XFD$61,AM50+4,FALSE),0)</f>
        <v>0</v>
      </c>
      <c r="CV50">
        <f>IFERROR(VLOOKUP(CV$6,Hoja1!$F$2:$XFD$61,AN50+4,FALSE),0)</f>
        <v>0</v>
      </c>
      <c r="CW50">
        <f>IFERROR(VLOOKUP(CW$6,Hoja1!$F$2:$XFD$61,AO50+4,FALSE),0)</f>
        <v>0</v>
      </c>
      <c r="CX50">
        <f>IFERROR(VLOOKUP(CX$6,Hoja1!$F$2:$XFD$61,AP50+4,FALSE),0)</f>
        <v>0</v>
      </c>
      <c r="CY50">
        <f>IFERROR(VLOOKUP(CY$6,Hoja1!$F$2:$XFD$61,AQ50+4,FALSE),0)</f>
        <v>0</v>
      </c>
      <c r="CZ50">
        <f>IFERROR(VLOOKUP(CZ$6,Hoja1!$F$2:$XFD$61,AR50+4,FALSE),0)</f>
        <v>0</v>
      </c>
      <c r="DA50">
        <f>IFERROR(VLOOKUP(DA$6,Hoja1!$F$2:$XFD$61,AS50+4,FALSE),0)</f>
        <v>0</v>
      </c>
      <c r="DB50">
        <f>IFERROR(VLOOKUP(DB$6,Hoja1!$F$2:$XFD$61,AT50+4,FALSE),0)</f>
        <v>0</v>
      </c>
      <c r="DC50">
        <f>IFERROR(VLOOKUP(DC$6,Hoja1!$F$2:$XFD$61,AU50+4,FALSE),0)</f>
        <v>0</v>
      </c>
      <c r="DD50">
        <f>IFERROR(VLOOKUP(DD$6,Hoja1!$F$2:$XFD$61,AV50+4,FALSE),0)</f>
        <v>0</v>
      </c>
      <c r="DE50">
        <f>IFERROR(VLOOKUP(DE$6,Hoja1!$F$2:$XFD$61,AW50+4,FALSE),0)</f>
        <v>0</v>
      </c>
      <c r="DF50">
        <f>IFERROR(VLOOKUP(DF$6,Hoja1!$F$2:$XFD$61,AX50+4,FALSE),0)</f>
        <v>0</v>
      </c>
      <c r="DG50">
        <f>IFERROR(VLOOKUP(DG$6,Hoja1!$F$2:$XFD$61,AY50+4,FALSE),0)</f>
        <v>0</v>
      </c>
      <c r="DH50">
        <f>IFERROR(VLOOKUP(DH$6,Hoja1!$F$2:$XFD$61,AZ50+4,FALSE),0)</f>
        <v>0</v>
      </c>
      <c r="DI50">
        <f>IFERROR(VLOOKUP(DI$6,Hoja1!$F$2:$XFD$61,BA50+4,FALSE),0)</f>
        <v>0</v>
      </c>
      <c r="DJ50">
        <f>IFERROR(VLOOKUP(DJ$6,Hoja1!$F$2:$XFD$61,BB50+4,FALSE),0)</f>
        <v>0</v>
      </c>
      <c r="DK50">
        <f>IFERROR(VLOOKUP(DK$6,Hoja1!$F$2:$XFD$61,BC50+4,FALSE),0)</f>
        <v>0</v>
      </c>
      <c r="DL50">
        <f>IFERROR(VLOOKUP(DL$6,Hoja1!$F$2:$XFD$61,BD50+4,FALSE),0)</f>
        <v>0</v>
      </c>
      <c r="DM50">
        <f>IFERROR(VLOOKUP(DM$6,Hoja1!$F$2:$XFD$61,BE50+4,FALSE),0)</f>
        <v>0</v>
      </c>
      <c r="DN50">
        <f>IFERROR(VLOOKUP(DN$6,Hoja1!$F$2:$XFD$61,BF50+4,FALSE),0)</f>
        <v>0</v>
      </c>
      <c r="DO50">
        <f>IFERROR(VLOOKUP(DO$6,Hoja1!$F$2:$XFD$61,BG50+4,FALSE),0)</f>
        <v>0</v>
      </c>
      <c r="DP50">
        <f>IFERROR(VLOOKUP(DP$6,Hoja1!$F$2:$XFD$61,BH50+4,FALSE),0)</f>
        <v>0</v>
      </c>
      <c r="DQ50">
        <f>IFERROR(VLOOKUP(DQ$6,Hoja1!$F$2:$XFD$61,BI50+4,FALSE),0)</f>
        <v>0</v>
      </c>
      <c r="DR50">
        <f>IFERROR(VLOOKUP(DR$6,Hoja1!$F$2:$XFD$61,BJ50+4,FALSE),0)</f>
        <v>0</v>
      </c>
      <c r="DS50">
        <f>IFERROR(VLOOKUP(DS$6,Hoja1!$F$2:$XFD$61,BK50+4,FALSE),0)</f>
        <v>0</v>
      </c>
      <c r="DT50">
        <f>IFERROR(VLOOKUP(DT$6,Hoja1!$F$2:$XFD$61,BL50+4,FALSE),0)</f>
        <v>0</v>
      </c>
      <c r="DU50" s="15" t="str">
        <f t="shared" si="0"/>
        <v/>
      </c>
      <c r="DV50" s="16" t="str">
        <f>IF(D50&lt;&gt;"",IF(DU50="","",IF(DU50&gt;=$DU$7*Hoja1!$E$2,4+3/($DU$7*(1-Hoja1!$E$2))*(DU50-$DU$7*Hoja1!$E$2),1+3/($DU$7*Hoja1!$E$2)*DU50)),DU50)</f>
        <v/>
      </c>
      <c r="DW50" s="47" t="b">
        <v>0</v>
      </c>
    </row>
    <row r="51" spans="1:127" ht="23.25" customHeight="1" x14ac:dyDescent="0.25">
      <c r="A51" s="17">
        <v>42</v>
      </c>
      <c r="B51" s="18"/>
      <c r="C51" s="18"/>
      <c r="D51" s="1"/>
      <c r="E51" s="28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  <c r="AA51" s="19"/>
      <c r="AB51" s="19"/>
      <c r="AC51" s="19"/>
      <c r="AD51" s="19"/>
      <c r="AE51" s="19"/>
      <c r="AF51" s="19"/>
      <c r="AG51" s="19"/>
      <c r="AH51" s="19"/>
      <c r="AI51" s="19"/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BJ51" s="19"/>
      <c r="BK51" s="19"/>
      <c r="BL51" s="29"/>
      <c r="BM51">
        <f>IFERROR(VLOOKUP(BM$6,Hoja1!$F$2:$XFD$61,E51+4,FALSE),0)</f>
        <v>0</v>
      </c>
      <c r="BN51">
        <f>IFERROR(VLOOKUP(BN$6,Hoja1!$F$2:$XFD$61,F51+4,FALSE),0)</f>
        <v>0</v>
      </c>
      <c r="BO51">
        <f>IFERROR(VLOOKUP(BO$6,Hoja1!$F$2:$XFD$61,G51+4,FALSE),0)</f>
        <v>0</v>
      </c>
      <c r="BP51">
        <f>IFERROR(VLOOKUP(BP$6,Hoja1!$F$2:$XFD$61,H51+4,FALSE),0)</f>
        <v>0</v>
      </c>
      <c r="BQ51">
        <f>IFERROR(VLOOKUP(BQ$6,Hoja1!$F$2:$XFD$61,I51+4,FALSE),0)</f>
        <v>0</v>
      </c>
      <c r="BR51">
        <f>IFERROR(VLOOKUP(BR$6,Hoja1!$F$2:$XFD$61,J51+4,FALSE),0)</f>
        <v>0</v>
      </c>
      <c r="BS51">
        <f>IFERROR(VLOOKUP(BS$6,Hoja1!$F$2:$XFD$61,K51+4,FALSE),0)</f>
        <v>0</v>
      </c>
      <c r="BT51">
        <f>IFERROR(VLOOKUP(BT$6,Hoja1!$F$2:$XFD$61,L51+4,FALSE),0)</f>
        <v>0</v>
      </c>
      <c r="BU51">
        <f>IFERROR(VLOOKUP(BU$6,Hoja1!$F$2:$XFD$61,M51+4,FALSE),0)</f>
        <v>0</v>
      </c>
      <c r="BV51">
        <f>IFERROR(VLOOKUP(BV$6,Hoja1!$F$2:$XFD$61,N51+4,FALSE),0)</f>
        <v>0</v>
      </c>
      <c r="BW51">
        <f>IFERROR(VLOOKUP(BW$6,Hoja1!$F$2:$XFD$61,O51+4,FALSE),0)</f>
        <v>0</v>
      </c>
      <c r="BX51">
        <f>IFERROR(VLOOKUP(BX$6,Hoja1!$F$2:$XFD$61,P51+4,FALSE),0)</f>
        <v>0</v>
      </c>
      <c r="BY51">
        <f>IFERROR(VLOOKUP(BY$6,Hoja1!$F$2:$XFD$61,Q51+4,FALSE),0)</f>
        <v>0</v>
      </c>
      <c r="BZ51">
        <f>IFERROR(VLOOKUP(BZ$6,Hoja1!$F$2:$XFD$61,R51+4,FALSE),0)</f>
        <v>0</v>
      </c>
      <c r="CA51">
        <f>IFERROR(VLOOKUP(CA$6,Hoja1!$F$2:$XFD$61,S51+4,FALSE),0)</f>
        <v>0</v>
      </c>
      <c r="CB51">
        <f>IFERROR(VLOOKUP(CB$6,Hoja1!$F$2:$XFD$61,T51+4,FALSE),0)</f>
        <v>0</v>
      </c>
      <c r="CC51">
        <f>IFERROR(VLOOKUP(CC$6,Hoja1!$F$2:$XFD$61,U51+4,FALSE),0)</f>
        <v>0</v>
      </c>
      <c r="CD51">
        <f>IFERROR(VLOOKUP(CD$6,Hoja1!$F$2:$XFD$61,V51+4,FALSE),0)</f>
        <v>0</v>
      </c>
      <c r="CE51">
        <f>IFERROR(VLOOKUP(CE$6,Hoja1!$F$2:$XFD$61,W51+4,FALSE),0)</f>
        <v>0</v>
      </c>
      <c r="CF51">
        <f>IFERROR(VLOOKUP(CF$6,Hoja1!$F$2:$XFD$61,X51+4,FALSE),0)</f>
        <v>0</v>
      </c>
      <c r="CG51">
        <f>IFERROR(VLOOKUP(CG$6,Hoja1!$F$2:$XFD$61,Y51+4,FALSE),0)</f>
        <v>0</v>
      </c>
      <c r="CH51">
        <f>IFERROR(VLOOKUP(CH$6,Hoja1!$F$2:$XFD$61,Z51+4,FALSE),0)</f>
        <v>0</v>
      </c>
      <c r="CI51">
        <f>IFERROR(VLOOKUP(CI$6,Hoja1!$F$2:$XFD$61,AA51+4,FALSE),0)</f>
        <v>0</v>
      </c>
      <c r="CJ51">
        <f>IFERROR(VLOOKUP(CJ$6,Hoja1!$F$2:$XFD$61,AB51+4,FALSE),0)</f>
        <v>0</v>
      </c>
      <c r="CK51">
        <f>IFERROR(VLOOKUP(CK$6,Hoja1!$F$2:$XFD$61,AC51+4,FALSE),0)</f>
        <v>0</v>
      </c>
      <c r="CL51">
        <f>IFERROR(VLOOKUP(CL$6,Hoja1!$F$2:$XFD$61,AD51+4,FALSE),0)</f>
        <v>0</v>
      </c>
      <c r="CM51">
        <f>IFERROR(VLOOKUP(CM$6,Hoja1!$F$2:$XFD$61,AE51+4,FALSE),0)</f>
        <v>0</v>
      </c>
      <c r="CN51">
        <f>IFERROR(VLOOKUP(CN$6,Hoja1!$F$2:$XFD$61,AF51+4,FALSE),0)</f>
        <v>0</v>
      </c>
      <c r="CO51">
        <f>IFERROR(VLOOKUP(CO$6,Hoja1!$F$2:$XFD$61,AG51+4,FALSE),0)</f>
        <v>0</v>
      </c>
      <c r="CP51">
        <f>IFERROR(VLOOKUP(CP$6,Hoja1!$F$2:$XFD$61,AH51+4,FALSE),0)</f>
        <v>0</v>
      </c>
      <c r="CQ51">
        <f>IFERROR(VLOOKUP(CQ$6,Hoja1!$F$2:$XFD$61,AI51+4,FALSE),0)</f>
        <v>0</v>
      </c>
      <c r="CR51">
        <f>IFERROR(VLOOKUP(CR$6,Hoja1!$F$2:$XFD$61,AJ51+4,FALSE),0)</f>
        <v>0</v>
      </c>
      <c r="CS51">
        <f>IFERROR(VLOOKUP(CS$6,Hoja1!$F$2:$XFD$61,AK51+4,FALSE),0)</f>
        <v>0</v>
      </c>
      <c r="CT51">
        <f>IFERROR(VLOOKUP(CT$6,Hoja1!$F$2:$XFD$61,AL51+4,FALSE),0)</f>
        <v>0</v>
      </c>
      <c r="CU51">
        <f>IFERROR(VLOOKUP(CU$6,Hoja1!$F$2:$XFD$61,AM51+4,FALSE),0)</f>
        <v>0</v>
      </c>
      <c r="CV51">
        <f>IFERROR(VLOOKUP(CV$6,Hoja1!$F$2:$XFD$61,AN51+4,FALSE),0)</f>
        <v>0</v>
      </c>
      <c r="CW51">
        <f>IFERROR(VLOOKUP(CW$6,Hoja1!$F$2:$XFD$61,AO51+4,FALSE),0)</f>
        <v>0</v>
      </c>
      <c r="CX51">
        <f>IFERROR(VLOOKUP(CX$6,Hoja1!$F$2:$XFD$61,AP51+4,FALSE),0)</f>
        <v>0</v>
      </c>
      <c r="CY51">
        <f>IFERROR(VLOOKUP(CY$6,Hoja1!$F$2:$XFD$61,AQ51+4,FALSE),0)</f>
        <v>0</v>
      </c>
      <c r="CZ51">
        <f>IFERROR(VLOOKUP(CZ$6,Hoja1!$F$2:$XFD$61,AR51+4,FALSE),0)</f>
        <v>0</v>
      </c>
      <c r="DA51">
        <f>IFERROR(VLOOKUP(DA$6,Hoja1!$F$2:$XFD$61,AS51+4,FALSE),0)</f>
        <v>0</v>
      </c>
      <c r="DB51">
        <f>IFERROR(VLOOKUP(DB$6,Hoja1!$F$2:$XFD$61,AT51+4,FALSE),0)</f>
        <v>0</v>
      </c>
      <c r="DC51">
        <f>IFERROR(VLOOKUP(DC$6,Hoja1!$F$2:$XFD$61,AU51+4,FALSE),0)</f>
        <v>0</v>
      </c>
      <c r="DD51">
        <f>IFERROR(VLOOKUP(DD$6,Hoja1!$F$2:$XFD$61,AV51+4,FALSE),0)</f>
        <v>0</v>
      </c>
      <c r="DE51">
        <f>IFERROR(VLOOKUP(DE$6,Hoja1!$F$2:$XFD$61,AW51+4,FALSE),0)</f>
        <v>0</v>
      </c>
      <c r="DF51">
        <f>IFERROR(VLOOKUP(DF$6,Hoja1!$F$2:$XFD$61,AX51+4,FALSE),0)</f>
        <v>0</v>
      </c>
      <c r="DG51">
        <f>IFERROR(VLOOKUP(DG$6,Hoja1!$F$2:$XFD$61,AY51+4,FALSE),0)</f>
        <v>0</v>
      </c>
      <c r="DH51">
        <f>IFERROR(VLOOKUP(DH$6,Hoja1!$F$2:$XFD$61,AZ51+4,FALSE),0)</f>
        <v>0</v>
      </c>
      <c r="DI51">
        <f>IFERROR(VLOOKUP(DI$6,Hoja1!$F$2:$XFD$61,BA51+4,FALSE),0)</f>
        <v>0</v>
      </c>
      <c r="DJ51">
        <f>IFERROR(VLOOKUP(DJ$6,Hoja1!$F$2:$XFD$61,BB51+4,FALSE),0)</f>
        <v>0</v>
      </c>
      <c r="DK51">
        <f>IFERROR(VLOOKUP(DK$6,Hoja1!$F$2:$XFD$61,BC51+4,FALSE),0)</f>
        <v>0</v>
      </c>
      <c r="DL51">
        <f>IFERROR(VLOOKUP(DL$6,Hoja1!$F$2:$XFD$61,BD51+4,FALSE),0)</f>
        <v>0</v>
      </c>
      <c r="DM51">
        <f>IFERROR(VLOOKUP(DM$6,Hoja1!$F$2:$XFD$61,BE51+4,FALSE),0)</f>
        <v>0</v>
      </c>
      <c r="DN51">
        <f>IFERROR(VLOOKUP(DN$6,Hoja1!$F$2:$XFD$61,BF51+4,FALSE),0)</f>
        <v>0</v>
      </c>
      <c r="DO51">
        <f>IFERROR(VLOOKUP(DO$6,Hoja1!$F$2:$XFD$61,BG51+4,FALSE),0)</f>
        <v>0</v>
      </c>
      <c r="DP51">
        <f>IFERROR(VLOOKUP(DP$6,Hoja1!$F$2:$XFD$61,BH51+4,FALSE),0)</f>
        <v>0</v>
      </c>
      <c r="DQ51">
        <f>IFERROR(VLOOKUP(DQ$6,Hoja1!$F$2:$XFD$61,BI51+4,FALSE),0)</f>
        <v>0</v>
      </c>
      <c r="DR51">
        <f>IFERROR(VLOOKUP(DR$6,Hoja1!$F$2:$XFD$61,BJ51+4,FALSE),0)</f>
        <v>0</v>
      </c>
      <c r="DS51">
        <f>IFERROR(VLOOKUP(DS$6,Hoja1!$F$2:$XFD$61,BK51+4,FALSE),0)</f>
        <v>0</v>
      </c>
      <c r="DT51">
        <f>IFERROR(VLOOKUP(DT$6,Hoja1!$F$2:$XFD$61,BL51+4,FALSE),0)</f>
        <v>0</v>
      </c>
      <c r="DU51" s="15" t="str">
        <f t="shared" si="0"/>
        <v/>
      </c>
      <c r="DV51" s="16" t="str">
        <f>IF(D51&lt;&gt;"",IF(DU51="","",IF(DU51&gt;=$DU$7*Hoja1!$E$2,4+3/($DU$7*(1-Hoja1!$E$2))*(DU51-$DU$7*Hoja1!$E$2),1+3/($DU$7*Hoja1!$E$2)*DU51)),DU51)</f>
        <v/>
      </c>
      <c r="DW51" s="47" t="b">
        <v>0</v>
      </c>
    </row>
    <row r="52" spans="1:127" ht="23.25" customHeight="1" x14ac:dyDescent="0.25">
      <c r="A52" s="17">
        <v>43</v>
      </c>
      <c r="B52" s="18"/>
      <c r="C52" s="18"/>
      <c r="D52" s="1"/>
      <c r="E52" s="28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  <c r="AA52" s="19"/>
      <c r="AB52" s="19"/>
      <c r="AC52" s="19"/>
      <c r="AD52" s="19"/>
      <c r="AE52" s="19"/>
      <c r="AF52" s="19"/>
      <c r="AG52" s="19"/>
      <c r="AH52" s="19"/>
      <c r="AI52" s="19"/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BJ52" s="19"/>
      <c r="BK52" s="19"/>
      <c r="BL52" s="29"/>
      <c r="BM52">
        <f>IFERROR(VLOOKUP(BM$6,Hoja1!$F$2:$XFD$61,E52+4,FALSE),0)</f>
        <v>0</v>
      </c>
      <c r="BN52">
        <f>IFERROR(VLOOKUP(BN$6,Hoja1!$F$2:$XFD$61,F52+4,FALSE),0)</f>
        <v>0</v>
      </c>
      <c r="BO52">
        <f>IFERROR(VLOOKUP(BO$6,Hoja1!$F$2:$XFD$61,G52+4,FALSE),0)</f>
        <v>0</v>
      </c>
      <c r="BP52">
        <f>IFERROR(VLOOKUP(BP$6,Hoja1!$F$2:$XFD$61,H52+4,FALSE),0)</f>
        <v>0</v>
      </c>
      <c r="BQ52">
        <f>IFERROR(VLOOKUP(BQ$6,Hoja1!$F$2:$XFD$61,I52+4,FALSE),0)</f>
        <v>0</v>
      </c>
      <c r="BR52">
        <f>IFERROR(VLOOKUP(BR$6,Hoja1!$F$2:$XFD$61,J52+4,FALSE),0)</f>
        <v>0</v>
      </c>
      <c r="BS52">
        <f>IFERROR(VLOOKUP(BS$6,Hoja1!$F$2:$XFD$61,K52+4,FALSE),0)</f>
        <v>0</v>
      </c>
      <c r="BT52">
        <f>IFERROR(VLOOKUP(BT$6,Hoja1!$F$2:$XFD$61,L52+4,FALSE),0)</f>
        <v>0</v>
      </c>
      <c r="BU52">
        <f>IFERROR(VLOOKUP(BU$6,Hoja1!$F$2:$XFD$61,M52+4,FALSE),0)</f>
        <v>0</v>
      </c>
      <c r="BV52">
        <f>IFERROR(VLOOKUP(BV$6,Hoja1!$F$2:$XFD$61,N52+4,FALSE),0)</f>
        <v>0</v>
      </c>
      <c r="BW52">
        <f>IFERROR(VLOOKUP(BW$6,Hoja1!$F$2:$XFD$61,O52+4,FALSE),0)</f>
        <v>0</v>
      </c>
      <c r="BX52">
        <f>IFERROR(VLOOKUP(BX$6,Hoja1!$F$2:$XFD$61,P52+4,FALSE),0)</f>
        <v>0</v>
      </c>
      <c r="BY52">
        <f>IFERROR(VLOOKUP(BY$6,Hoja1!$F$2:$XFD$61,Q52+4,FALSE),0)</f>
        <v>0</v>
      </c>
      <c r="BZ52">
        <f>IFERROR(VLOOKUP(BZ$6,Hoja1!$F$2:$XFD$61,R52+4,FALSE),0)</f>
        <v>0</v>
      </c>
      <c r="CA52">
        <f>IFERROR(VLOOKUP(CA$6,Hoja1!$F$2:$XFD$61,S52+4,FALSE),0)</f>
        <v>0</v>
      </c>
      <c r="CB52">
        <f>IFERROR(VLOOKUP(CB$6,Hoja1!$F$2:$XFD$61,T52+4,FALSE),0)</f>
        <v>0</v>
      </c>
      <c r="CC52">
        <f>IFERROR(VLOOKUP(CC$6,Hoja1!$F$2:$XFD$61,U52+4,FALSE),0)</f>
        <v>0</v>
      </c>
      <c r="CD52">
        <f>IFERROR(VLOOKUP(CD$6,Hoja1!$F$2:$XFD$61,V52+4,FALSE),0)</f>
        <v>0</v>
      </c>
      <c r="CE52">
        <f>IFERROR(VLOOKUP(CE$6,Hoja1!$F$2:$XFD$61,W52+4,FALSE),0)</f>
        <v>0</v>
      </c>
      <c r="CF52">
        <f>IFERROR(VLOOKUP(CF$6,Hoja1!$F$2:$XFD$61,X52+4,FALSE),0)</f>
        <v>0</v>
      </c>
      <c r="CG52">
        <f>IFERROR(VLOOKUP(CG$6,Hoja1!$F$2:$XFD$61,Y52+4,FALSE),0)</f>
        <v>0</v>
      </c>
      <c r="CH52">
        <f>IFERROR(VLOOKUP(CH$6,Hoja1!$F$2:$XFD$61,Z52+4,FALSE),0)</f>
        <v>0</v>
      </c>
      <c r="CI52">
        <f>IFERROR(VLOOKUP(CI$6,Hoja1!$F$2:$XFD$61,AA52+4,FALSE),0)</f>
        <v>0</v>
      </c>
      <c r="CJ52">
        <f>IFERROR(VLOOKUP(CJ$6,Hoja1!$F$2:$XFD$61,AB52+4,FALSE),0)</f>
        <v>0</v>
      </c>
      <c r="CK52">
        <f>IFERROR(VLOOKUP(CK$6,Hoja1!$F$2:$XFD$61,AC52+4,FALSE),0)</f>
        <v>0</v>
      </c>
      <c r="CL52">
        <f>IFERROR(VLOOKUP(CL$6,Hoja1!$F$2:$XFD$61,AD52+4,FALSE),0)</f>
        <v>0</v>
      </c>
      <c r="CM52">
        <f>IFERROR(VLOOKUP(CM$6,Hoja1!$F$2:$XFD$61,AE52+4,FALSE),0)</f>
        <v>0</v>
      </c>
      <c r="CN52">
        <f>IFERROR(VLOOKUP(CN$6,Hoja1!$F$2:$XFD$61,AF52+4,FALSE),0)</f>
        <v>0</v>
      </c>
      <c r="CO52">
        <f>IFERROR(VLOOKUP(CO$6,Hoja1!$F$2:$XFD$61,AG52+4,FALSE),0)</f>
        <v>0</v>
      </c>
      <c r="CP52">
        <f>IFERROR(VLOOKUP(CP$6,Hoja1!$F$2:$XFD$61,AH52+4,FALSE),0)</f>
        <v>0</v>
      </c>
      <c r="CQ52">
        <f>IFERROR(VLOOKUP(CQ$6,Hoja1!$F$2:$XFD$61,AI52+4,FALSE),0)</f>
        <v>0</v>
      </c>
      <c r="CR52">
        <f>IFERROR(VLOOKUP(CR$6,Hoja1!$F$2:$XFD$61,AJ52+4,FALSE),0)</f>
        <v>0</v>
      </c>
      <c r="CS52">
        <f>IFERROR(VLOOKUP(CS$6,Hoja1!$F$2:$XFD$61,AK52+4,FALSE),0)</f>
        <v>0</v>
      </c>
      <c r="CT52">
        <f>IFERROR(VLOOKUP(CT$6,Hoja1!$F$2:$XFD$61,AL52+4,FALSE),0)</f>
        <v>0</v>
      </c>
      <c r="CU52">
        <f>IFERROR(VLOOKUP(CU$6,Hoja1!$F$2:$XFD$61,AM52+4,FALSE),0)</f>
        <v>0</v>
      </c>
      <c r="CV52">
        <f>IFERROR(VLOOKUP(CV$6,Hoja1!$F$2:$XFD$61,AN52+4,FALSE),0)</f>
        <v>0</v>
      </c>
      <c r="CW52">
        <f>IFERROR(VLOOKUP(CW$6,Hoja1!$F$2:$XFD$61,AO52+4,FALSE),0)</f>
        <v>0</v>
      </c>
      <c r="CX52">
        <f>IFERROR(VLOOKUP(CX$6,Hoja1!$F$2:$XFD$61,AP52+4,FALSE),0)</f>
        <v>0</v>
      </c>
      <c r="CY52">
        <f>IFERROR(VLOOKUP(CY$6,Hoja1!$F$2:$XFD$61,AQ52+4,FALSE),0)</f>
        <v>0</v>
      </c>
      <c r="CZ52">
        <f>IFERROR(VLOOKUP(CZ$6,Hoja1!$F$2:$XFD$61,AR52+4,FALSE),0)</f>
        <v>0</v>
      </c>
      <c r="DA52">
        <f>IFERROR(VLOOKUP(DA$6,Hoja1!$F$2:$XFD$61,AS52+4,FALSE),0)</f>
        <v>0</v>
      </c>
      <c r="DB52">
        <f>IFERROR(VLOOKUP(DB$6,Hoja1!$F$2:$XFD$61,AT52+4,FALSE),0)</f>
        <v>0</v>
      </c>
      <c r="DC52">
        <f>IFERROR(VLOOKUP(DC$6,Hoja1!$F$2:$XFD$61,AU52+4,FALSE),0)</f>
        <v>0</v>
      </c>
      <c r="DD52">
        <f>IFERROR(VLOOKUP(DD$6,Hoja1!$F$2:$XFD$61,AV52+4,FALSE),0)</f>
        <v>0</v>
      </c>
      <c r="DE52">
        <f>IFERROR(VLOOKUP(DE$6,Hoja1!$F$2:$XFD$61,AW52+4,FALSE),0)</f>
        <v>0</v>
      </c>
      <c r="DF52">
        <f>IFERROR(VLOOKUP(DF$6,Hoja1!$F$2:$XFD$61,AX52+4,FALSE),0)</f>
        <v>0</v>
      </c>
      <c r="DG52">
        <f>IFERROR(VLOOKUP(DG$6,Hoja1!$F$2:$XFD$61,AY52+4,FALSE),0)</f>
        <v>0</v>
      </c>
      <c r="DH52">
        <f>IFERROR(VLOOKUP(DH$6,Hoja1!$F$2:$XFD$61,AZ52+4,FALSE),0)</f>
        <v>0</v>
      </c>
      <c r="DI52">
        <f>IFERROR(VLOOKUP(DI$6,Hoja1!$F$2:$XFD$61,BA52+4,FALSE),0)</f>
        <v>0</v>
      </c>
      <c r="DJ52">
        <f>IFERROR(VLOOKUP(DJ$6,Hoja1!$F$2:$XFD$61,BB52+4,FALSE),0)</f>
        <v>0</v>
      </c>
      <c r="DK52">
        <f>IFERROR(VLOOKUP(DK$6,Hoja1!$F$2:$XFD$61,BC52+4,FALSE),0)</f>
        <v>0</v>
      </c>
      <c r="DL52">
        <f>IFERROR(VLOOKUP(DL$6,Hoja1!$F$2:$XFD$61,BD52+4,FALSE),0)</f>
        <v>0</v>
      </c>
      <c r="DM52">
        <f>IFERROR(VLOOKUP(DM$6,Hoja1!$F$2:$XFD$61,BE52+4,FALSE),0)</f>
        <v>0</v>
      </c>
      <c r="DN52">
        <f>IFERROR(VLOOKUP(DN$6,Hoja1!$F$2:$XFD$61,BF52+4,FALSE),0)</f>
        <v>0</v>
      </c>
      <c r="DO52">
        <f>IFERROR(VLOOKUP(DO$6,Hoja1!$F$2:$XFD$61,BG52+4,FALSE),0)</f>
        <v>0</v>
      </c>
      <c r="DP52">
        <f>IFERROR(VLOOKUP(DP$6,Hoja1!$F$2:$XFD$61,BH52+4,FALSE),0)</f>
        <v>0</v>
      </c>
      <c r="DQ52">
        <f>IFERROR(VLOOKUP(DQ$6,Hoja1!$F$2:$XFD$61,BI52+4,FALSE),0)</f>
        <v>0</v>
      </c>
      <c r="DR52">
        <f>IFERROR(VLOOKUP(DR$6,Hoja1!$F$2:$XFD$61,BJ52+4,FALSE),0)</f>
        <v>0</v>
      </c>
      <c r="DS52">
        <f>IFERROR(VLOOKUP(DS$6,Hoja1!$F$2:$XFD$61,BK52+4,FALSE),0)</f>
        <v>0</v>
      </c>
      <c r="DT52">
        <f>IFERROR(VLOOKUP(DT$6,Hoja1!$F$2:$XFD$61,BL52+4,FALSE),0)</f>
        <v>0</v>
      </c>
      <c r="DU52" s="15" t="str">
        <f t="shared" si="0"/>
        <v/>
      </c>
      <c r="DV52" s="16" t="str">
        <f>IF(D52&lt;&gt;"",IF(DU52="","",IF(DU52&gt;=$DU$7*Hoja1!$E$2,4+3/($DU$7*(1-Hoja1!$E$2))*(DU52-$DU$7*Hoja1!$E$2),1+3/($DU$7*Hoja1!$E$2)*DU52)),DU52)</f>
        <v/>
      </c>
      <c r="DW52" s="47" t="b">
        <v>0</v>
      </c>
    </row>
    <row r="53" spans="1:127" ht="23.25" customHeight="1" x14ac:dyDescent="0.25">
      <c r="A53" s="17">
        <v>44</v>
      </c>
      <c r="B53" s="18"/>
      <c r="C53" s="18"/>
      <c r="D53" s="1"/>
      <c r="E53" s="28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9"/>
      <c r="AA53" s="19"/>
      <c r="AB53" s="19"/>
      <c r="AC53" s="19"/>
      <c r="AD53" s="19"/>
      <c r="AE53" s="19"/>
      <c r="AF53" s="19"/>
      <c r="AG53" s="19"/>
      <c r="AH53" s="19"/>
      <c r="AI53" s="19"/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  <c r="BJ53" s="19"/>
      <c r="BK53" s="19"/>
      <c r="BL53" s="29"/>
      <c r="BM53">
        <f>IFERROR(VLOOKUP(BM$6,Hoja1!$F$2:$XFD$61,E53+4,FALSE),0)</f>
        <v>0</v>
      </c>
      <c r="BN53">
        <f>IFERROR(VLOOKUP(BN$6,Hoja1!$F$2:$XFD$61,F53+4,FALSE),0)</f>
        <v>0</v>
      </c>
      <c r="BO53">
        <f>IFERROR(VLOOKUP(BO$6,Hoja1!$F$2:$XFD$61,G53+4,FALSE),0)</f>
        <v>0</v>
      </c>
      <c r="BP53">
        <f>IFERROR(VLOOKUP(BP$6,Hoja1!$F$2:$XFD$61,H53+4,FALSE),0)</f>
        <v>0</v>
      </c>
      <c r="BQ53">
        <f>IFERROR(VLOOKUP(BQ$6,Hoja1!$F$2:$XFD$61,I53+4,FALSE),0)</f>
        <v>0</v>
      </c>
      <c r="BR53">
        <f>IFERROR(VLOOKUP(BR$6,Hoja1!$F$2:$XFD$61,J53+4,FALSE),0)</f>
        <v>0</v>
      </c>
      <c r="BS53">
        <f>IFERROR(VLOOKUP(BS$6,Hoja1!$F$2:$XFD$61,K53+4,FALSE),0)</f>
        <v>0</v>
      </c>
      <c r="BT53">
        <f>IFERROR(VLOOKUP(BT$6,Hoja1!$F$2:$XFD$61,L53+4,FALSE),0)</f>
        <v>0</v>
      </c>
      <c r="BU53">
        <f>IFERROR(VLOOKUP(BU$6,Hoja1!$F$2:$XFD$61,M53+4,FALSE),0)</f>
        <v>0</v>
      </c>
      <c r="BV53">
        <f>IFERROR(VLOOKUP(BV$6,Hoja1!$F$2:$XFD$61,N53+4,FALSE),0)</f>
        <v>0</v>
      </c>
      <c r="BW53">
        <f>IFERROR(VLOOKUP(BW$6,Hoja1!$F$2:$XFD$61,O53+4,FALSE),0)</f>
        <v>0</v>
      </c>
      <c r="BX53">
        <f>IFERROR(VLOOKUP(BX$6,Hoja1!$F$2:$XFD$61,P53+4,FALSE),0)</f>
        <v>0</v>
      </c>
      <c r="BY53">
        <f>IFERROR(VLOOKUP(BY$6,Hoja1!$F$2:$XFD$61,Q53+4,FALSE),0)</f>
        <v>0</v>
      </c>
      <c r="BZ53">
        <f>IFERROR(VLOOKUP(BZ$6,Hoja1!$F$2:$XFD$61,R53+4,FALSE),0)</f>
        <v>0</v>
      </c>
      <c r="CA53">
        <f>IFERROR(VLOOKUP(CA$6,Hoja1!$F$2:$XFD$61,S53+4,FALSE),0)</f>
        <v>0</v>
      </c>
      <c r="CB53">
        <f>IFERROR(VLOOKUP(CB$6,Hoja1!$F$2:$XFD$61,T53+4,FALSE),0)</f>
        <v>0</v>
      </c>
      <c r="CC53">
        <f>IFERROR(VLOOKUP(CC$6,Hoja1!$F$2:$XFD$61,U53+4,FALSE),0)</f>
        <v>0</v>
      </c>
      <c r="CD53">
        <f>IFERROR(VLOOKUP(CD$6,Hoja1!$F$2:$XFD$61,V53+4,FALSE),0)</f>
        <v>0</v>
      </c>
      <c r="CE53">
        <f>IFERROR(VLOOKUP(CE$6,Hoja1!$F$2:$XFD$61,W53+4,FALSE),0)</f>
        <v>0</v>
      </c>
      <c r="CF53">
        <f>IFERROR(VLOOKUP(CF$6,Hoja1!$F$2:$XFD$61,X53+4,FALSE),0)</f>
        <v>0</v>
      </c>
      <c r="CG53">
        <f>IFERROR(VLOOKUP(CG$6,Hoja1!$F$2:$XFD$61,Y53+4,FALSE),0)</f>
        <v>0</v>
      </c>
      <c r="CH53">
        <f>IFERROR(VLOOKUP(CH$6,Hoja1!$F$2:$XFD$61,Z53+4,FALSE),0)</f>
        <v>0</v>
      </c>
      <c r="CI53">
        <f>IFERROR(VLOOKUP(CI$6,Hoja1!$F$2:$XFD$61,AA53+4,FALSE),0)</f>
        <v>0</v>
      </c>
      <c r="CJ53">
        <f>IFERROR(VLOOKUP(CJ$6,Hoja1!$F$2:$XFD$61,AB53+4,FALSE),0)</f>
        <v>0</v>
      </c>
      <c r="CK53">
        <f>IFERROR(VLOOKUP(CK$6,Hoja1!$F$2:$XFD$61,AC53+4,FALSE),0)</f>
        <v>0</v>
      </c>
      <c r="CL53">
        <f>IFERROR(VLOOKUP(CL$6,Hoja1!$F$2:$XFD$61,AD53+4,FALSE),0)</f>
        <v>0</v>
      </c>
      <c r="CM53">
        <f>IFERROR(VLOOKUP(CM$6,Hoja1!$F$2:$XFD$61,AE53+4,FALSE),0)</f>
        <v>0</v>
      </c>
      <c r="CN53">
        <f>IFERROR(VLOOKUP(CN$6,Hoja1!$F$2:$XFD$61,AF53+4,FALSE),0)</f>
        <v>0</v>
      </c>
      <c r="CO53">
        <f>IFERROR(VLOOKUP(CO$6,Hoja1!$F$2:$XFD$61,AG53+4,FALSE),0)</f>
        <v>0</v>
      </c>
      <c r="CP53">
        <f>IFERROR(VLOOKUP(CP$6,Hoja1!$F$2:$XFD$61,AH53+4,FALSE),0)</f>
        <v>0</v>
      </c>
      <c r="CQ53">
        <f>IFERROR(VLOOKUP(CQ$6,Hoja1!$F$2:$XFD$61,AI53+4,FALSE),0)</f>
        <v>0</v>
      </c>
      <c r="CR53">
        <f>IFERROR(VLOOKUP(CR$6,Hoja1!$F$2:$XFD$61,AJ53+4,FALSE),0)</f>
        <v>0</v>
      </c>
      <c r="CS53">
        <f>IFERROR(VLOOKUP(CS$6,Hoja1!$F$2:$XFD$61,AK53+4,FALSE),0)</f>
        <v>0</v>
      </c>
      <c r="CT53">
        <f>IFERROR(VLOOKUP(CT$6,Hoja1!$F$2:$XFD$61,AL53+4,FALSE),0)</f>
        <v>0</v>
      </c>
      <c r="CU53">
        <f>IFERROR(VLOOKUP(CU$6,Hoja1!$F$2:$XFD$61,AM53+4,FALSE),0)</f>
        <v>0</v>
      </c>
      <c r="CV53">
        <f>IFERROR(VLOOKUP(CV$6,Hoja1!$F$2:$XFD$61,AN53+4,FALSE),0)</f>
        <v>0</v>
      </c>
      <c r="CW53">
        <f>IFERROR(VLOOKUP(CW$6,Hoja1!$F$2:$XFD$61,AO53+4,FALSE),0)</f>
        <v>0</v>
      </c>
      <c r="CX53">
        <f>IFERROR(VLOOKUP(CX$6,Hoja1!$F$2:$XFD$61,AP53+4,FALSE),0)</f>
        <v>0</v>
      </c>
      <c r="CY53">
        <f>IFERROR(VLOOKUP(CY$6,Hoja1!$F$2:$XFD$61,AQ53+4,FALSE),0)</f>
        <v>0</v>
      </c>
      <c r="CZ53">
        <f>IFERROR(VLOOKUP(CZ$6,Hoja1!$F$2:$XFD$61,AR53+4,FALSE),0)</f>
        <v>0</v>
      </c>
      <c r="DA53">
        <f>IFERROR(VLOOKUP(DA$6,Hoja1!$F$2:$XFD$61,AS53+4,FALSE),0)</f>
        <v>0</v>
      </c>
      <c r="DB53">
        <f>IFERROR(VLOOKUP(DB$6,Hoja1!$F$2:$XFD$61,AT53+4,FALSE),0)</f>
        <v>0</v>
      </c>
      <c r="DC53">
        <f>IFERROR(VLOOKUP(DC$6,Hoja1!$F$2:$XFD$61,AU53+4,FALSE),0)</f>
        <v>0</v>
      </c>
      <c r="DD53">
        <f>IFERROR(VLOOKUP(DD$6,Hoja1!$F$2:$XFD$61,AV53+4,FALSE),0)</f>
        <v>0</v>
      </c>
      <c r="DE53">
        <f>IFERROR(VLOOKUP(DE$6,Hoja1!$F$2:$XFD$61,AW53+4,FALSE),0)</f>
        <v>0</v>
      </c>
      <c r="DF53">
        <f>IFERROR(VLOOKUP(DF$6,Hoja1!$F$2:$XFD$61,AX53+4,FALSE),0)</f>
        <v>0</v>
      </c>
      <c r="DG53">
        <f>IFERROR(VLOOKUP(DG$6,Hoja1!$F$2:$XFD$61,AY53+4,FALSE),0)</f>
        <v>0</v>
      </c>
      <c r="DH53">
        <f>IFERROR(VLOOKUP(DH$6,Hoja1!$F$2:$XFD$61,AZ53+4,FALSE),0)</f>
        <v>0</v>
      </c>
      <c r="DI53">
        <f>IFERROR(VLOOKUP(DI$6,Hoja1!$F$2:$XFD$61,BA53+4,FALSE),0)</f>
        <v>0</v>
      </c>
      <c r="DJ53">
        <f>IFERROR(VLOOKUP(DJ$6,Hoja1!$F$2:$XFD$61,BB53+4,FALSE),0)</f>
        <v>0</v>
      </c>
      <c r="DK53">
        <f>IFERROR(VLOOKUP(DK$6,Hoja1!$F$2:$XFD$61,BC53+4,FALSE),0)</f>
        <v>0</v>
      </c>
      <c r="DL53">
        <f>IFERROR(VLOOKUP(DL$6,Hoja1!$F$2:$XFD$61,BD53+4,FALSE),0)</f>
        <v>0</v>
      </c>
      <c r="DM53">
        <f>IFERROR(VLOOKUP(DM$6,Hoja1!$F$2:$XFD$61,BE53+4,FALSE),0)</f>
        <v>0</v>
      </c>
      <c r="DN53">
        <f>IFERROR(VLOOKUP(DN$6,Hoja1!$F$2:$XFD$61,BF53+4,FALSE),0)</f>
        <v>0</v>
      </c>
      <c r="DO53">
        <f>IFERROR(VLOOKUP(DO$6,Hoja1!$F$2:$XFD$61,BG53+4,FALSE),0)</f>
        <v>0</v>
      </c>
      <c r="DP53">
        <f>IFERROR(VLOOKUP(DP$6,Hoja1!$F$2:$XFD$61,BH53+4,FALSE),0)</f>
        <v>0</v>
      </c>
      <c r="DQ53">
        <f>IFERROR(VLOOKUP(DQ$6,Hoja1!$F$2:$XFD$61,BI53+4,FALSE),0)</f>
        <v>0</v>
      </c>
      <c r="DR53">
        <f>IFERROR(VLOOKUP(DR$6,Hoja1!$F$2:$XFD$61,BJ53+4,FALSE),0)</f>
        <v>0</v>
      </c>
      <c r="DS53">
        <f>IFERROR(VLOOKUP(DS$6,Hoja1!$F$2:$XFD$61,BK53+4,FALSE),0)</f>
        <v>0</v>
      </c>
      <c r="DT53">
        <f>IFERROR(VLOOKUP(DT$6,Hoja1!$F$2:$XFD$61,BL53+4,FALSE),0)</f>
        <v>0</v>
      </c>
      <c r="DU53" s="15" t="str">
        <f t="shared" si="0"/>
        <v/>
      </c>
      <c r="DV53" s="16" t="str">
        <f>IF(D53&lt;&gt;"",IF(DU53="","",IF(DU53&gt;=$DU$7*Hoja1!$E$2,4+3/($DU$7*(1-Hoja1!$E$2))*(DU53-$DU$7*Hoja1!$E$2),1+3/($DU$7*Hoja1!$E$2)*DU53)),DU53)</f>
        <v/>
      </c>
      <c r="DW53" s="47" t="b">
        <v>0</v>
      </c>
    </row>
    <row r="54" spans="1:127" ht="23.25" customHeight="1" x14ac:dyDescent="0.25">
      <c r="A54" s="17">
        <v>45</v>
      </c>
      <c r="B54" s="18"/>
      <c r="C54" s="18"/>
      <c r="D54" s="1"/>
      <c r="E54" s="28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  <c r="AI54" s="19"/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  <c r="BL54" s="29"/>
      <c r="BM54">
        <f>IFERROR(VLOOKUP(BM$6,Hoja1!$F$2:$XFD$61,E54+4,FALSE),0)</f>
        <v>0</v>
      </c>
      <c r="BN54">
        <f>IFERROR(VLOOKUP(BN$6,Hoja1!$F$2:$XFD$61,F54+4,FALSE),0)</f>
        <v>0</v>
      </c>
      <c r="BO54">
        <f>IFERROR(VLOOKUP(BO$6,Hoja1!$F$2:$XFD$61,G54+4,FALSE),0)</f>
        <v>0</v>
      </c>
      <c r="BP54">
        <f>IFERROR(VLOOKUP(BP$6,Hoja1!$F$2:$XFD$61,H54+4,FALSE),0)</f>
        <v>0</v>
      </c>
      <c r="BQ54">
        <f>IFERROR(VLOOKUP(BQ$6,Hoja1!$F$2:$XFD$61,I54+4,FALSE),0)</f>
        <v>0</v>
      </c>
      <c r="BR54">
        <f>IFERROR(VLOOKUP(BR$6,Hoja1!$F$2:$XFD$61,J54+4,FALSE),0)</f>
        <v>0</v>
      </c>
      <c r="BS54">
        <f>IFERROR(VLOOKUP(BS$6,Hoja1!$F$2:$XFD$61,K54+4,FALSE),0)</f>
        <v>0</v>
      </c>
      <c r="BT54">
        <f>IFERROR(VLOOKUP(BT$6,Hoja1!$F$2:$XFD$61,L54+4,FALSE),0)</f>
        <v>0</v>
      </c>
      <c r="BU54">
        <f>IFERROR(VLOOKUP(BU$6,Hoja1!$F$2:$XFD$61,M54+4,FALSE),0)</f>
        <v>0</v>
      </c>
      <c r="BV54">
        <f>IFERROR(VLOOKUP(BV$6,Hoja1!$F$2:$XFD$61,N54+4,FALSE),0)</f>
        <v>0</v>
      </c>
      <c r="BW54">
        <f>IFERROR(VLOOKUP(BW$6,Hoja1!$F$2:$XFD$61,O54+4,FALSE),0)</f>
        <v>0</v>
      </c>
      <c r="BX54">
        <f>IFERROR(VLOOKUP(BX$6,Hoja1!$F$2:$XFD$61,P54+4,FALSE),0)</f>
        <v>0</v>
      </c>
      <c r="BY54">
        <f>IFERROR(VLOOKUP(BY$6,Hoja1!$F$2:$XFD$61,Q54+4,FALSE),0)</f>
        <v>0</v>
      </c>
      <c r="BZ54">
        <f>IFERROR(VLOOKUP(BZ$6,Hoja1!$F$2:$XFD$61,R54+4,FALSE),0)</f>
        <v>0</v>
      </c>
      <c r="CA54">
        <f>IFERROR(VLOOKUP(CA$6,Hoja1!$F$2:$XFD$61,S54+4,FALSE),0)</f>
        <v>0</v>
      </c>
      <c r="CB54">
        <f>IFERROR(VLOOKUP(CB$6,Hoja1!$F$2:$XFD$61,T54+4,FALSE),0)</f>
        <v>0</v>
      </c>
      <c r="CC54">
        <f>IFERROR(VLOOKUP(CC$6,Hoja1!$F$2:$XFD$61,U54+4,FALSE),0)</f>
        <v>0</v>
      </c>
      <c r="CD54">
        <f>IFERROR(VLOOKUP(CD$6,Hoja1!$F$2:$XFD$61,V54+4,FALSE),0)</f>
        <v>0</v>
      </c>
      <c r="CE54">
        <f>IFERROR(VLOOKUP(CE$6,Hoja1!$F$2:$XFD$61,W54+4,FALSE),0)</f>
        <v>0</v>
      </c>
      <c r="CF54">
        <f>IFERROR(VLOOKUP(CF$6,Hoja1!$F$2:$XFD$61,X54+4,FALSE),0)</f>
        <v>0</v>
      </c>
      <c r="CG54">
        <f>IFERROR(VLOOKUP(CG$6,Hoja1!$F$2:$XFD$61,Y54+4,FALSE),0)</f>
        <v>0</v>
      </c>
      <c r="CH54">
        <f>IFERROR(VLOOKUP(CH$6,Hoja1!$F$2:$XFD$61,Z54+4,FALSE),0)</f>
        <v>0</v>
      </c>
      <c r="CI54">
        <f>IFERROR(VLOOKUP(CI$6,Hoja1!$F$2:$XFD$61,AA54+4,FALSE),0)</f>
        <v>0</v>
      </c>
      <c r="CJ54">
        <f>IFERROR(VLOOKUP(CJ$6,Hoja1!$F$2:$XFD$61,AB54+4,FALSE),0)</f>
        <v>0</v>
      </c>
      <c r="CK54">
        <f>IFERROR(VLOOKUP(CK$6,Hoja1!$F$2:$XFD$61,AC54+4,FALSE),0)</f>
        <v>0</v>
      </c>
      <c r="CL54">
        <f>IFERROR(VLOOKUP(CL$6,Hoja1!$F$2:$XFD$61,AD54+4,FALSE),0)</f>
        <v>0</v>
      </c>
      <c r="CM54">
        <f>IFERROR(VLOOKUP(CM$6,Hoja1!$F$2:$XFD$61,AE54+4,FALSE),0)</f>
        <v>0</v>
      </c>
      <c r="CN54">
        <f>IFERROR(VLOOKUP(CN$6,Hoja1!$F$2:$XFD$61,AF54+4,FALSE),0)</f>
        <v>0</v>
      </c>
      <c r="CO54">
        <f>IFERROR(VLOOKUP(CO$6,Hoja1!$F$2:$XFD$61,AG54+4,FALSE),0)</f>
        <v>0</v>
      </c>
      <c r="CP54">
        <f>IFERROR(VLOOKUP(CP$6,Hoja1!$F$2:$XFD$61,AH54+4,FALSE),0)</f>
        <v>0</v>
      </c>
      <c r="CQ54">
        <f>IFERROR(VLOOKUP(CQ$6,Hoja1!$F$2:$XFD$61,AI54+4,FALSE),0)</f>
        <v>0</v>
      </c>
      <c r="CR54">
        <f>IFERROR(VLOOKUP(CR$6,Hoja1!$F$2:$XFD$61,AJ54+4,FALSE),0)</f>
        <v>0</v>
      </c>
      <c r="CS54">
        <f>IFERROR(VLOOKUP(CS$6,Hoja1!$F$2:$XFD$61,AK54+4,FALSE),0)</f>
        <v>0</v>
      </c>
      <c r="CT54">
        <f>IFERROR(VLOOKUP(CT$6,Hoja1!$F$2:$XFD$61,AL54+4,FALSE),0)</f>
        <v>0</v>
      </c>
      <c r="CU54">
        <f>IFERROR(VLOOKUP(CU$6,Hoja1!$F$2:$XFD$61,AM54+4,FALSE),0)</f>
        <v>0</v>
      </c>
      <c r="CV54">
        <f>IFERROR(VLOOKUP(CV$6,Hoja1!$F$2:$XFD$61,AN54+4,FALSE),0)</f>
        <v>0</v>
      </c>
      <c r="CW54">
        <f>IFERROR(VLOOKUP(CW$6,Hoja1!$F$2:$XFD$61,AO54+4,FALSE),0)</f>
        <v>0</v>
      </c>
      <c r="CX54">
        <f>IFERROR(VLOOKUP(CX$6,Hoja1!$F$2:$XFD$61,AP54+4,FALSE),0)</f>
        <v>0</v>
      </c>
      <c r="CY54">
        <f>IFERROR(VLOOKUP(CY$6,Hoja1!$F$2:$XFD$61,AQ54+4,FALSE),0)</f>
        <v>0</v>
      </c>
      <c r="CZ54">
        <f>IFERROR(VLOOKUP(CZ$6,Hoja1!$F$2:$XFD$61,AR54+4,FALSE),0)</f>
        <v>0</v>
      </c>
      <c r="DA54">
        <f>IFERROR(VLOOKUP(DA$6,Hoja1!$F$2:$XFD$61,AS54+4,FALSE),0)</f>
        <v>0</v>
      </c>
      <c r="DB54">
        <f>IFERROR(VLOOKUP(DB$6,Hoja1!$F$2:$XFD$61,AT54+4,FALSE),0)</f>
        <v>0</v>
      </c>
      <c r="DC54">
        <f>IFERROR(VLOOKUP(DC$6,Hoja1!$F$2:$XFD$61,AU54+4,FALSE),0)</f>
        <v>0</v>
      </c>
      <c r="DD54">
        <f>IFERROR(VLOOKUP(DD$6,Hoja1!$F$2:$XFD$61,AV54+4,FALSE),0)</f>
        <v>0</v>
      </c>
      <c r="DE54">
        <f>IFERROR(VLOOKUP(DE$6,Hoja1!$F$2:$XFD$61,AW54+4,FALSE),0)</f>
        <v>0</v>
      </c>
      <c r="DF54">
        <f>IFERROR(VLOOKUP(DF$6,Hoja1!$F$2:$XFD$61,AX54+4,FALSE),0)</f>
        <v>0</v>
      </c>
      <c r="DG54">
        <f>IFERROR(VLOOKUP(DG$6,Hoja1!$F$2:$XFD$61,AY54+4,FALSE),0)</f>
        <v>0</v>
      </c>
      <c r="DH54">
        <f>IFERROR(VLOOKUP(DH$6,Hoja1!$F$2:$XFD$61,AZ54+4,FALSE),0)</f>
        <v>0</v>
      </c>
      <c r="DI54">
        <f>IFERROR(VLOOKUP(DI$6,Hoja1!$F$2:$XFD$61,BA54+4,FALSE),0)</f>
        <v>0</v>
      </c>
      <c r="DJ54">
        <f>IFERROR(VLOOKUP(DJ$6,Hoja1!$F$2:$XFD$61,BB54+4,FALSE),0)</f>
        <v>0</v>
      </c>
      <c r="DK54">
        <f>IFERROR(VLOOKUP(DK$6,Hoja1!$F$2:$XFD$61,BC54+4,FALSE),0)</f>
        <v>0</v>
      </c>
      <c r="DL54">
        <f>IFERROR(VLOOKUP(DL$6,Hoja1!$F$2:$XFD$61,BD54+4,FALSE),0)</f>
        <v>0</v>
      </c>
      <c r="DM54">
        <f>IFERROR(VLOOKUP(DM$6,Hoja1!$F$2:$XFD$61,BE54+4,FALSE),0)</f>
        <v>0</v>
      </c>
      <c r="DN54">
        <f>IFERROR(VLOOKUP(DN$6,Hoja1!$F$2:$XFD$61,BF54+4,FALSE),0)</f>
        <v>0</v>
      </c>
      <c r="DO54">
        <f>IFERROR(VLOOKUP(DO$6,Hoja1!$F$2:$XFD$61,BG54+4,FALSE),0)</f>
        <v>0</v>
      </c>
      <c r="DP54">
        <f>IFERROR(VLOOKUP(DP$6,Hoja1!$F$2:$XFD$61,BH54+4,FALSE),0)</f>
        <v>0</v>
      </c>
      <c r="DQ54">
        <f>IFERROR(VLOOKUP(DQ$6,Hoja1!$F$2:$XFD$61,BI54+4,FALSE),0)</f>
        <v>0</v>
      </c>
      <c r="DR54">
        <f>IFERROR(VLOOKUP(DR$6,Hoja1!$F$2:$XFD$61,BJ54+4,FALSE),0)</f>
        <v>0</v>
      </c>
      <c r="DS54">
        <f>IFERROR(VLOOKUP(DS$6,Hoja1!$F$2:$XFD$61,BK54+4,FALSE),0)</f>
        <v>0</v>
      </c>
      <c r="DT54">
        <f>IFERROR(VLOOKUP(DT$6,Hoja1!$F$2:$XFD$61,BL54+4,FALSE),0)</f>
        <v>0</v>
      </c>
      <c r="DU54" s="15" t="str">
        <f t="shared" si="0"/>
        <v/>
      </c>
      <c r="DV54" s="16" t="str">
        <f>IF(D54&lt;&gt;"",IF(DU54="","",IF(DU54&gt;=$DU$7*Hoja1!$E$2,4+3/($DU$7*(1-Hoja1!$E$2))*(DU54-$DU$7*Hoja1!$E$2),1+3/($DU$7*Hoja1!$E$2)*DU54)),DU54)</f>
        <v/>
      </c>
      <c r="DW54" s="47" t="b">
        <v>0</v>
      </c>
    </row>
    <row r="55" spans="1:127" ht="23.25" customHeight="1" x14ac:dyDescent="0.25">
      <c r="A55" s="17">
        <v>46</v>
      </c>
      <c r="B55" s="18"/>
      <c r="C55" s="18"/>
      <c r="D55" s="1"/>
      <c r="E55" s="28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9"/>
      <c r="AA55" s="19"/>
      <c r="AB55" s="19"/>
      <c r="AC55" s="19"/>
      <c r="AD55" s="19"/>
      <c r="AE55" s="19"/>
      <c r="AF55" s="19"/>
      <c r="AG55" s="19"/>
      <c r="AH55" s="19"/>
      <c r="AI55" s="19"/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  <c r="BJ55" s="19"/>
      <c r="BK55" s="19"/>
      <c r="BL55" s="29"/>
      <c r="BM55">
        <f>IFERROR(VLOOKUP(BM$6,Hoja1!$F$2:$XFD$61,E55+4,FALSE),0)</f>
        <v>0</v>
      </c>
      <c r="BN55">
        <f>IFERROR(VLOOKUP(BN$6,Hoja1!$F$2:$XFD$61,F55+4,FALSE),0)</f>
        <v>0</v>
      </c>
      <c r="BO55">
        <f>IFERROR(VLOOKUP(BO$6,Hoja1!$F$2:$XFD$61,G55+4,FALSE),0)</f>
        <v>0</v>
      </c>
      <c r="BP55">
        <f>IFERROR(VLOOKUP(BP$6,Hoja1!$F$2:$XFD$61,H55+4,FALSE),0)</f>
        <v>0</v>
      </c>
      <c r="BQ55">
        <f>IFERROR(VLOOKUP(BQ$6,Hoja1!$F$2:$XFD$61,I55+4,FALSE),0)</f>
        <v>0</v>
      </c>
      <c r="BR55">
        <f>IFERROR(VLOOKUP(BR$6,Hoja1!$F$2:$XFD$61,J55+4,FALSE),0)</f>
        <v>0</v>
      </c>
      <c r="BS55">
        <f>IFERROR(VLOOKUP(BS$6,Hoja1!$F$2:$XFD$61,K55+4,FALSE),0)</f>
        <v>0</v>
      </c>
      <c r="BT55">
        <f>IFERROR(VLOOKUP(BT$6,Hoja1!$F$2:$XFD$61,L55+4,FALSE),0)</f>
        <v>0</v>
      </c>
      <c r="BU55">
        <f>IFERROR(VLOOKUP(BU$6,Hoja1!$F$2:$XFD$61,M55+4,FALSE),0)</f>
        <v>0</v>
      </c>
      <c r="BV55">
        <f>IFERROR(VLOOKUP(BV$6,Hoja1!$F$2:$XFD$61,N55+4,FALSE),0)</f>
        <v>0</v>
      </c>
      <c r="BW55">
        <f>IFERROR(VLOOKUP(BW$6,Hoja1!$F$2:$XFD$61,O55+4,FALSE),0)</f>
        <v>0</v>
      </c>
      <c r="BX55">
        <f>IFERROR(VLOOKUP(BX$6,Hoja1!$F$2:$XFD$61,P55+4,FALSE),0)</f>
        <v>0</v>
      </c>
      <c r="BY55">
        <f>IFERROR(VLOOKUP(BY$6,Hoja1!$F$2:$XFD$61,Q55+4,FALSE),0)</f>
        <v>0</v>
      </c>
      <c r="BZ55">
        <f>IFERROR(VLOOKUP(BZ$6,Hoja1!$F$2:$XFD$61,R55+4,FALSE),0)</f>
        <v>0</v>
      </c>
      <c r="CA55">
        <f>IFERROR(VLOOKUP(CA$6,Hoja1!$F$2:$XFD$61,S55+4,FALSE),0)</f>
        <v>0</v>
      </c>
      <c r="CB55">
        <f>IFERROR(VLOOKUP(CB$6,Hoja1!$F$2:$XFD$61,T55+4,FALSE),0)</f>
        <v>0</v>
      </c>
      <c r="CC55">
        <f>IFERROR(VLOOKUP(CC$6,Hoja1!$F$2:$XFD$61,U55+4,FALSE),0)</f>
        <v>0</v>
      </c>
      <c r="CD55">
        <f>IFERROR(VLOOKUP(CD$6,Hoja1!$F$2:$XFD$61,V55+4,FALSE),0)</f>
        <v>0</v>
      </c>
      <c r="CE55">
        <f>IFERROR(VLOOKUP(CE$6,Hoja1!$F$2:$XFD$61,W55+4,FALSE),0)</f>
        <v>0</v>
      </c>
      <c r="CF55">
        <f>IFERROR(VLOOKUP(CF$6,Hoja1!$F$2:$XFD$61,X55+4,FALSE),0)</f>
        <v>0</v>
      </c>
      <c r="CG55">
        <f>IFERROR(VLOOKUP(CG$6,Hoja1!$F$2:$XFD$61,Y55+4,FALSE),0)</f>
        <v>0</v>
      </c>
      <c r="CH55">
        <f>IFERROR(VLOOKUP(CH$6,Hoja1!$F$2:$XFD$61,Z55+4,FALSE),0)</f>
        <v>0</v>
      </c>
      <c r="CI55">
        <f>IFERROR(VLOOKUP(CI$6,Hoja1!$F$2:$XFD$61,AA55+4,FALSE),0)</f>
        <v>0</v>
      </c>
      <c r="CJ55">
        <f>IFERROR(VLOOKUP(CJ$6,Hoja1!$F$2:$XFD$61,AB55+4,FALSE),0)</f>
        <v>0</v>
      </c>
      <c r="CK55">
        <f>IFERROR(VLOOKUP(CK$6,Hoja1!$F$2:$XFD$61,AC55+4,FALSE),0)</f>
        <v>0</v>
      </c>
      <c r="CL55">
        <f>IFERROR(VLOOKUP(CL$6,Hoja1!$F$2:$XFD$61,AD55+4,FALSE),0)</f>
        <v>0</v>
      </c>
      <c r="CM55">
        <f>IFERROR(VLOOKUP(CM$6,Hoja1!$F$2:$XFD$61,AE55+4,FALSE),0)</f>
        <v>0</v>
      </c>
      <c r="CN55">
        <f>IFERROR(VLOOKUP(CN$6,Hoja1!$F$2:$XFD$61,AF55+4,FALSE),0)</f>
        <v>0</v>
      </c>
      <c r="CO55">
        <f>IFERROR(VLOOKUP(CO$6,Hoja1!$F$2:$XFD$61,AG55+4,FALSE),0)</f>
        <v>0</v>
      </c>
      <c r="CP55">
        <f>IFERROR(VLOOKUP(CP$6,Hoja1!$F$2:$XFD$61,AH55+4,FALSE),0)</f>
        <v>0</v>
      </c>
      <c r="CQ55">
        <f>IFERROR(VLOOKUP(CQ$6,Hoja1!$F$2:$XFD$61,AI55+4,FALSE),0)</f>
        <v>0</v>
      </c>
      <c r="CR55">
        <f>IFERROR(VLOOKUP(CR$6,Hoja1!$F$2:$XFD$61,AJ55+4,FALSE),0)</f>
        <v>0</v>
      </c>
      <c r="CS55">
        <f>IFERROR(VLOOKUP(CS$6,Hoja1!$F$2:$XFD$61,AK55+4,FALSE),0)</f>
        <v>0</v>
      </c>
      <c r="CT55">
        <f>IFERROR(VLOOKUP(CT$6,Hoja1!$F$2:$XFD$61,AL55+4,FALSE),0)</f>
        <v>0</v>
      </c>
      <c r="CU55">
        <f>IFERROR(VLOOKUP(CU$6,Hoja1!$F$2:$XFD$61,AM55+4,FALSE),0)</f>
        <v>0</v>
      </c>
      <c r="CV55">
        <f>IFERROR(VLOOKUP(CV$6,Hoja1!$F$2:$XFD$61,AN55+4,FALSE),0)</f>
        <v>0</v>
      </c>
      <c r="CW55">
        <f>IFERROR(VLOOKUP(CW$6,Hoja1!$F$2:$XFD$61,AO55+4,FALSE),0)</f>
        <v>0</v>
      </c>
      <c r="CX55">
        <f>IFERROR(VLOOKUP(CX$6,Hoja1!$F$2:$XFD$61,AP55+4,FALSE),0)</f>
        <v>0</v>
      </c>
      <c r="CY55">
        <f>IFERROR(VLOOKUP(CY$6,Hoja1!$F$2:$XFD$61,AQ55+4,FALSE),0)</f>
        <v>0</v>
      </c>
      <c r="CZ55">
        <f>IFERROR(VLOOKUP(CZ$6,Hoja1!$F$2:$XFD$61,AR55+4,FALSE),0)</f>
        <v>0</v>
      </c>
      <c r="DA55">
        <f>IFERROR(VLOOKUP(DA$6,Hoja1!$F$2:$XFD$61,AS55+4,FALSE),0)</f>
        <v>0</v>
      </c>
      <c r="DB55">
        <f>IFERROR(VLOOKUP(DB$6,Hoja1!$F$2:$XFD$61,AT55+4,FALSE),0)</f>
        <v>0</v>
      </c>
      <c r="DC55">
        <f>IFERROR(VLOOKUP(DC$6,Hoja1!$F$2:$XFD$61,AU55+4,FALSE),0)</f>
        <v>0</v>
      </c>
      <c r="DD55">
        <f>IFERROR(VLOOKUP(DD$6,Hoja1!$F$2:$XFD$61,AV55+4,FALSE),0)</f>
        <v>0</v>
      </c>
      <c r="DE55">
        <f>IFERROR(VLOOKUP(DE$6,Hoja1!$F$2:$XFD$61,AW55+4,FALSE),0)</f>
        <v>0</v>
      </c>
      <c r="DF55">
        <f>IFERROR(VLOOKUP(DF$6,Hoja1!$F$2:$XFD$61,AX55+4,FALSE),0)</f>
        <v>0</v>
      </c>
      <c r="DG55">
        <f>IFERROR(VLOOKUP(DG$6,Hoja1!$F$2:$XFD$61,AY55+4,FALSE),0)</f>
        <v>0</v>
      </c>
      <c r="DH55">
        <f>IFERROR(VLOOKUP(DH$6,Hoja1!$F$2:$XFD$61,AZ55+4,FALSE),0)</f>
        <v>0</v>
      </c>
      <c r="DI55">
        <f>IFERROR(VLOOKUP(DI$6,Hoja1!$F$2:$XFD$61,BA55+4,FALSE),0)</f>
        <v>0</v>
      </c>
      <c r="DJ55">
        <f>IFERROR(VLOOKUP(DJ$6,Hoja1!$F$2:$XFD$61,BB55+4,FALSE),0)</f>
        <v>0</v>
      </c>
      <c r="DK55">
        <f>IFERROR(VLOOKUP(DK$6,Hoja1!$F$2:$XFD$61,BC55+4,FALSE),0)</f>
        <v>0</v>
      </c>
      <c r="DL55">
        <f>IFERROR(VLOOKUP(DL$6,Hoja1!$F$2:$XFD$61,BD55+4,FALSE),0)</f>
        <v>0</v>
      </c>
      <c r="DM55">
        <f>IFERROR(VLOOKUP(DM$6,Hoja1!$F$2:$XFD$61,BE55+4,FALSE),0)</f>
        <v>0</v>
      </c>
      <c r="DN55">
        <f>IFERROR(VLOOKUP(DN$6,Hoja1!$F$2:$XFD$61,BF55+4,FALSE),0)</f>
        <v>0</v>
      </c>
      <c r="DO55">
        <f>IFERROR(VLOOKUP(DO$6,Hoja1!$F$2:$XFD$61,BG55+4,FALSE),0)</f>
        <v>0</v>
      </c>
      <c r="DP55">
        <f>IFERROR(VLOOKUP(DP$6,Hoja1!$F$2:$XFD$61,BH55+4,FALSE),0)</f>
        <v>0</v>
      </c>
      <c r="DQ55">
        <f>IFERROR(VLOOKUP(DQ$6,Hoja1!$F$2:$XFD$61,BI55+4,FALSE),0)</f>
        <v>0</v>
      </c>
      <c r="DR55">
        <f>IFERROR(VLOOKUP(DR$6,Hoja1!$F$2:$XFD$61,BJ55+4,FALSE),0)</f>
        <v>0</v>
      </c>
      <c r="DS55">
        <f>IFERROR(VLOOKUP(DS$6,Hoja1!$F$2:$XFD$61,BK55+4,FALSE),0)</f>
        <v>0</v>
      </c>
      <c r="DT55">
        <f>IFERROR(VLOOKUP(DT$6,Hoja1!$F$2:$XFD$61,BL55+4,FALSE),0)</f>
        <v>0</v>
      </c>
      <c r="DU55" s="15" t="str">
        <f t="shared" si="0"/>
        <v/>
      </c>
      <c r="DV55" s="16" t="str">
        <f>IF(D55&lt;&gt;"",IF(DU55="","",IF(DU55&gt;=$DU$7*Hoja1!$E$2,4+3/($DU$7*(1-Hoja1!$E$2))*(DU55-$DU$7*Hoja1!$E$2),1+3/($DU$7*Hoja1!$E$2)*DU55)),DU55)</f>
        <v/>
      </c>
      <c r="DW55" s="47" t="b">
        <v>0</v>
      </c>
    </row>
    <row r="56" spans="1:127" ht="23.25" customHeight="1" x14ac:dyDescent="0.25">
      <c r="A56" s="17">
        <v>47</v>
      </c>
      <c r="B56" s="18"/>
      <c r="C56" s="18"/>
      <c r="D56" s="1"/>
      <c r="E56" s="28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19"/>
      <c r="AB56" s="19"/>
      <c r="AC56" s="19"/>
      <c r="AD56" s="19"/>
      <c r="AE56" s="19"/>
      <c r="AF56" s="19"/>
      <c r="AG56" s="19"/>
      <c r="AH56" s="19"/>
      <c r="AI56" s="19"/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  <c r="BK56" s="19"/>
      <c r="BL56" s="29"/>
      <c r="BM56">
        <f>IFERROR(VLOOKUP(BM$6,Hoja1!$F$2:$XFD$61,E56+4,FALSE),0)</f>
        <v>0</v>
      </c>
      <c r="BN56">
        <f>IFERROR(VLOOKUP(BN$6,Hoja1!$F$2:$XFD$61,F56+4,FALSE),0)</f>
        <v>0</v>
      </c>
      <c r="BO56">
        <f>IFERROR(VLOOKUP(BO$6,Hoja1!$F$2:$XFD$61,G56+4,FALSE),0)</f>
        <v>0</v>
      </c>
      <c r="BP56">
        <f>IFERROR(VLOOKUP(BP$6,Hoja1!$F$2:$XFD$61,H56+4,FALSE),0)</f>
        <v>0</v>
      </c>
      <c r="BQ56">
        <f>IFERROR(VLOOKUP(BQ$6,Hoja1!$F$2:$XFD$61,I56+4,FALSE),0)</f>
        <v>0</v>
      </c>
      <c r="BR56">
        <f>IFERROR(VLOOKUP(BR$6,Hoja1!$F$2:$XFD$61,J56+4,FALSE),0)</f>
        <v>0</v>
      </c>
      <c r="BS56">
        <f>IFERROR(VLOOKUP(BS$6,Hoja1!$F$2:$XFD$61,K56+4,FALSE),0)</f>
        <v>0</v>
      </c>
      <c r="BT56">
        <f>IFERROR(VLOOKUP(BT$6,Hoja1!$F$2:$XFD$61,L56+4,FALSE),0)</f>
        <v>0</v>
      </c>
      <c r="BU56">
        <f>IFERROR(VLOOKUP(BU$6,Hoja1!$F$2:$XFD$61,M56+4,FALSE),0)</f>
        <v>0</v>
      </c>
      <c r="BV56">
        <f>IFERROR(VLOOKUP(BV$6,Hoja1!$F$2:$XFD$61,N56+4,FALSE),0)</f>
        <v>0</v>
      </c>
      <c r="BW56">
        <f>IFERROR(VLOOKUP(BW$6,Hoja1!$F$2:$XFD$61,O56+4,FALSE),0)</f>
        <v>0</v>
      </c>
      <c r="BX56">
        <f>IFERROR(VLOOKUP(BX$6,Hoja1!$F$2:$XFD$61,P56+4,FALSE),0)</f>
        <v>0</v>
      </c>
      <c r="BY56">
        <f>IFERROR(VLOOKUP(BY$6,Hoja1!$F$2:$XFD$61,Q56+4,FALSE),0)</f>
        <v>0</v>
      </c>
      <c r="BZ56">
        <f>IFERROR(VLOOKUP(BZ$6,Hoja1!$F$2:$XFD$61,R56+4,FALSE),0)</f>
        <v>0</v>
      </c>
      <c r="CA56">
        <f>IFERROR(VLOOKUP(CA$6,Hoja1!$F$2:$XFD$61,S56+4,FALSE),0)</f>
        <v>0</v>
      </c>
      <c r="CB56">
        <f>IFERROR(VLOOKUP(CB$6,Hoja1!$F$2:$XFD$61,T56+4,FALSE),0)</f>
        <v>0</v>
      </c>
      <c r="CC56">
        <f>IFERROR(VLOOKUP(CC$6,Hoja1!$F$2:$XFD$61,U56+4,FALSE),0)</f>
        <v>0</v>
      </c>
      <c r="CD56">
        <f>IFERROR(VLOOKUP(CD$6,Hoja1!$F$2:$XFD$61,V56+4,FALSE),0)</f>
        <v>0</v>
      </c>
      <c r="CE56">
        <f>IFERROR(VLOOKUP(CE$6,Hoja1!$F$2:$XFD$61,W56+4,FALSE),0)</f>
        <v>0</v>
      </c>
      <c r="CF56">
        <f>IFERROR(VLOOKUP(CF$6,Hoja1!$F$2:$XFD$61,X56+4,FALSE),0)</f>
        <v>0</v>
      </c>
      <c r="CG56">
        <f>IFERROR(VLOOKUP(CG$6,Hoja1!$F$2:$XFD$61,Y56+4,FALSE),0)</f>
        <v>0</v>
      </c>
      <c r="CH56">
        <f>IFERROR(VLOOKUP(CH$6,Hoja1!$F$2:$XFD$61,Z56+4,FALSE),0)</f>
        <v>0</v>
      </c>
      <c r="CI56">
        <f>IFERROR(VLOOKUP(CI$6,Hoja1!$F$2:$XFD$61,AA56+4,FALSE),0)</f>
        <v>0</v>
      </c>
      <c r="CJ56">
        <f>IFERROR(VLOOKUP(CJ$6,Hoja1!$F$2:$XFD$61,AB56+4,FALSE),0)</f>
        <v>0</v>
      </c>
      <c r="CK56">
        <f>IFERROR(VLOOKUP(CK$6,Hoja1!$F$2:$XFD$61,AC56+4,FALSE),0)</f>
        <v>0</v>
      </c>
      <c r="CL56">
        <f>IFERROR(VLOOKUP(CL$6,Hoja1!$F$2:$XFD$61,AD56+4,FALSE),0)</f>
        <v>0</v>
      </c>
      <c r="CM56">
        <f>IFERROR(VLOOKUP(CM$6,Hoja1!$F$2:$XFD$61,AE56+4,FALSE),0)</f>
        <v>0</v>
      </c>
      <c r="CN56">
        <f>IFERROR(VLOOKUP(CN$6,Hoja1!$F$2:$XFD$61,AF56+4,FALSE),0)</f>
        <v>0</v>
      </c>
      <c r="CO56">
        <f>IFERROR(VLOOKUP(CO$6,Hoja1!$F$2:$XFD$61,AG56+4,FALSE),0)</f>
        <v>0</v>
      </c>
      <c r="CP56">
        <f>IFERROR(VLOOKUP(CP$6,Hoja1!$F$2:$XFD$61,AH56+4,FALSE),0)</f>
        <v>0</v>
      </c>
      <c r="CQ56">
        <f>IFERROR(VLOOKUP(CQ$6,Hoja1!$F$2:$XFD$61,AI56+4,FALSE),0)</f>
        <v>0</v>
      </c>
      <c r="CR56">
        <f>IFERROR(VLOOKUP(CR$6,Hoja1!$F$2:$XFD$61,AJ56+4,FALSE),0)</f>
        <v>0</v>
      </c>
      <c r="CS56">
        <f>IFERROR(VLOOKUP(CS$6,Hoja1!$F$2:$XFD$61,AK56+4,FALSE),0)</f>
        <v>0</v>
      </c>
      <c r="CT56">
        <f>IFERROR(VLOOKUP(CT$6,Hoja1!$F$2:$XFD$61,AL56+4,FALSE),0)</f>
        <v>0</v>
      </c>
      <c r="CU56">
        <f>IFERROR(VLOOKUP(CU$6,Hoja1!$F$2:$XFD$61,AM56+4,FALSE),0)</f>
        <v>0</v>
      </c>
      <c r="CV56">
        <f>IFERROR(VLOOKUP(CV$6,Hoja1!$F$2:$XFD$61,AN56+4,FALSE),0)</f>
        <v>0</v>
      </c>
      <c r="CW56">
        <f>IFERROR(VLOOKUP(CW$6,Hoja1!$F$2:$XFD$61,AO56+4,FALSE),0)</f>
        <v>0</v>
      </c>
      <c r="CX56">
        <f>IFERROR(VLOOKUP(CX$6,Hoja1!$F$2:$XFD$61,AP56+4,FALSE),0)</f>
        <v>0</v>
      </c>
      <c r="CY56">
        <f>IFERROR(VLOOKUP(CY$6,Hoja1!$F$2:$XFD$61,AQ56+4,FALSE),0)</f>
        <v>0</v>
      </c>
      <c r="CZ56">
        <f>IFERROR(VLOOKUP(CZ$6,Hoja1!$F$2:$XFD$61,AR56+4,FALSE),0)</f>
        <v>0</v>
      </c>
      <c r="DA56">
        <f>IFERROR(VLOOKUP(DA$6,Hoja1!$F$2:$XFD$61,AS56+4,FALSE),0)</f>
        <v>0</v>
      </c>
      <c r="DB56">
        <f>IFERROR(VLOOKUP(DB$6,Hoja1!$F$2:$XFD$61,AT56+4,FALSE),0)</f>
        <v>0</v>
      </c>
      <c r="DC56">
        <f>IFERROR(VLOOKUP(DC$6,Hoja1!$F$2:$XFD$61,AU56+4,FALSE),0)</f>
        <v>0</v>
      </c>
      <c r="DD56">
        <f>IFERROR(VLOOKUP(DD$6,Hoja1!$F$2:$XFD$61,AV56+4,FALSE),0)</f>
        <v>0</v>
      </c>
      <c r="DE56">
        <f>IFERROR(VLOOKUP(DE$6,Hoja1!$F$2:$XFD$61,AW56+4,FALSE),0)</f>
        <v>0</v>
      </c>
      <c r="DF56">
        <f>IFERROR(VLOOKUP(DF$6,Hoja1!$F$2:$XFD$61,AX56+4,FALSE),0)</f>
        <v>0</v>
      </c>
      <c r="DG56">
        <f>IFERROR(VLOOKUP(DG$6,Hoja1!$F$2:$XFD$61,AY56+4,FALSE),0)</f>
        <v>0</v>
      </c>
      <c r="DH56">
        <f>IFERROR(VLOOKUP(DH$6,Hoja1!$F$2:$XFD$61,AZ56+4,FALSE),0)</f>
        <v>0</v>
      </c>
      <c r="DI56">
        <f>IFERROR(VLOOKUP(DI$6,Hoja1!$F$2:$XFD$61,BA56+4,FALSE),0)</f>
        <v>0</v>
      </c>
      <c r="DJ56">
        <f>IFERROR(VLOOKUP(DJ$6,Hoja1!$F$2:$XFD$61,BB56+4,FALSE),0)</f>
        <v>0</v>
      </c>
      <c r="DK56">
        <f>IFERROR(VLOOKUP(DK$6,Hoja1!$F$2:$XFD$61,BC56+4,FALSE),0)</f>
        <v>0</v>
      </c>
      <c r="DL56">
        <f>IFERROR(VLOOKUP(DL$6,Hoja1!$F$2:$XFD$61,BD56+4,FALSE),0)</f>
        <v>0</v>
      </c>
      <c r="DM56">
        <f>IFERROR(VLOOKUP(DM$6,Hoja1!$F$2:$XFD$61,BE56+4,FALSE),0)</f>
        <v>0</v>
      </c>
      <c r="DN56">
        <f>IFERROR(VLOOKUP(DN$6,Hoja1!$F$2:$XFD$61,BF56+4,FALSE),0)</f>
        <v>0</v>
      </c>
      <c r="DO56">
        <f>IFERROR(VLOOKUP(DO$6,Hoja1!$F$2:$XFD$61,BG56+4,FALSE),0)</f>
        <v>0</v>
      </c>
      <c r="DP56">
        <f>IFERROR(VLOOKUP(DP$6,Hoja1!$F$2:$XFD$61,BH56+4,FALSE),0)</f>
        <v>0</v>
      </c>
      <c r="DQ56">
        <f>IFERROR(VLOOKUP(DQ$6,Hoja1!$F$2:$XFD$61,BI56+4,FALSE),0)</f>
        <v>0</v>
      </c>
      <c r="DR56">
        <f>IFERROR(VLOOKUP(DR$6,Hoja1!$F$2:$XFD$61,BJ56+4,FALSE),0)</f>
        <v>0</v>
      </c>
      <c r="DS56">
        <f>IFERROR(VLOOKUP(DS$6,Hoja1!$F$2:$XFD$61,BK56+4,FALSE),0)</f>
        <v>0</v>
      </c>
      <c r="DT56">
        <f>IFERROR(VLOOKUP(DT$6,Hoja1!$F$2:$XFD$61,BL56+4,FALSE),0)</f>
        <v>0</v>
      </c>
      <c r="DU56" s="15" t="str">
        <f t="shared" si="0"/>
        <v/>
      </c>
      <c r="DV56" s="16" t="str">
        <f>IF(D56&lt;&gt;"",IF(DU56="","",IF(DU56&gt;=$DU$7*Hoja1!$E$2,4+3/($DU$7*(1-Hoja1!$E$2))*(DU56-$DU$7*Hoja1!$E$2),1+3/($DU$7*Hoja1!$E$2)*DU56)),DU56)</f>
        <v/>
      </c>
      <c r="DW56" s="47" t="b">
        <v>0</v>
      </c>
    </row>
    <row r="57" spans="1:127" ht="23.25" customHeight="1" x14ac:dyDescent="0.25">
      <c r="A57" s="17">
        <v>48</v>
      </c>
      <c r="B57" s="18"/>
      <c r="C57" s="18"/>
      <c r="D57" s="1"/>
      <c r="E57" s="28"/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R57" s="19"/>
      <c r="S57" s="19"/>
      <c r="T57" s="19"/>
      <c r="U57" s="19"/>
      <c r="V57" s="19"/>
      <c r="W57" s="19"/>
      <c r="X57" s="19"/>
      <c r="Y57" s="19"/>
      <c r="Z57" s="19"/>
      <c r="AA57" s="19"/>
      <c r="AB57" s="19"/>
      <c r="AC57" s="19"/>
      <c r="AD57" s="19"/>
      <c r="AE57" s="19"/>
      <c r="AF57" s="19"/>
      <c r="AG57" s="19"/>
      <c r="AH57" s="19"/>
      <c r="AI57" s="19"/>
      <c r="AJ57" s="19"/>
      <c r="AK57" s="19"/>
      <c r="AL57" s="19"/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9"/>
      <c r="AY57" s="19"/>
      <c r="AZ57" s="19"/>
      <c r="BA57" s="19"/>
      <c r="BB57" s="19"/>
      <c r="BC57" s="19"/>
      <c r="BD57" s="19"/>
      <c r="BE57" s="19"/>
      <c r="BF57" s="19"/>
      <c r="BG57" s="19"/>
      <c r="BH57" s="19"/>
      <c r="BI57" s="19"/>
      <c r="BJ57" s="19"/>
      <c r="BK57" s="19"/>
      <c r="BL57" s="29"/>
      <c r="BM57">
        <f>IFERROR(VLOOKUP(BM$6,Hoja1!$F$2:$XFD$61,E57+4,FALSE),0)</f>
        <v>0</v>
      </c>
      <c r="BN57">
        <f>IFERROR(VLOOKUP(BN$6,Hoja1!$F$2:$XFD$61,F57+4,FALSE),0)</f>
        <v>0</v>
      </c>
      <c r="BO57">
        <f>IFERROR(VLOOKUP(BO$6,Hoja1!$F$2:$XFD$61,G57+4,FALSE),0)</f>
        <v>0</v>
      </c>
      <c r="BP57">
        <f>IFERROR(VLOOKUP(BP$6,Hoja1!$F$2:$XFD$61,H57+4,FALSE),0)</f>
        <v>0</v>
      </c>
      <c r="BQ57">
        <f>IFERROR(VLOOKUP(BQ$6,Hoja1!$F$2:$XFD$61,I57+4,FALSE),0)</f>
        <v>0</v>
      </c>
      <c r="BR57">
        <f>IFERROR(VLOOKUP(BR$6,Hoja1!$F$2:$XFD$61,J57+4,FALSE),0)</f>
        <v>0</v>
      </c>
      <c r="BS57">
        <f>IFERROR(VLOOKUP(BS$6,Hoja1!$F$2:$XFD$61,K57+4,FALSE),0)</f>
        <v>0</v>
      </c>
      <c r="BT57">
        <f>IFERROR(VLOOKUP(BT$6,Hoja1!$F$2:$XFD$61,L57+4,FALSE),0)</f>
        <v>0</v>
      </c>
      <c r="BU57">
        <f>IFERROR(VLOOKUP(BU$6,Hoja1!$F$2:$XFD$61,M57+4,FALSE),0)</f>
        <v>0</v>
      </c>
      <c r="BV57">
        <f>IFERROR(VLOOKUP(BV$6,Hoja1!$F$2:$XFD$61,N57+4,FALSE),0)</f>
        <v>0</v>
      </c>
      <c r="BW57">
        <f>IFERROR(VLOOKUP(BW$6,Hoja1!$F$2:$XFD$61,O57+4,FALSE),0)</f>
        <v>0</v>
      </c>
      <c r="BX57">
        <f>IFERROR(VLOOKUP(BX$6,Hoja1!$F$2:$XFD$61,P57+4,FALSE),0)</f>
        <v>0</v>
      </c>
      <c r="BY57">
        <f>IFERROR(VLOOKUP(BY$6,Hoja1!$F$2:$XFD$61,Q57+4,FALSE),0)</f>
        <v>0</v>
      </c>
      <c r="BZ57">
        <f>IFERROR(VLOOKUP(BZ$6,Hoja1!$F$2:$XFD$61,R57+4,FALSE),0)</f>
        <v>0</v>
      </c>
      <c r="CA57">
        <f>IFERROR(VLOOKUP(CA$6,Hoja1!$F$2:$XFD$61,S57+4,FALSE),0)</f>
        <v>0</v>
      </c>
      <c r="CB57">
        <f>IFERROR(VLOOKUP(CB$6,Hoja1!$F$2:$XFD$61,T57+4,FALSE),0)</f>
        <v>0</v>
      </c>
      <c r="CC57">
        <f>IFERROR(VLOOKUP(CC$6,Hoja1!$F$2:$XFD$61,U57+4,FALSE),0)</f>
        <v>0</v>
      </c>
      <c r="CD57">
        <f>IFERROR(VLOOKUP(CD$6,Hoja1!$F$2:$XFD$61,V57+4,FALSE),0)</f>
        <v>0</v>
      </c>
      <c r="CE57">
        <f>IFERROR(VLOOKUP(CE$6,Hoja1!$F$2:$XFD$61,W57+4,FALSE),0)</f>
        <v>0</v>
      </c>
      <c r="CF57">
        <f>IFERROR(VLOOKUP(CF$6,Hoja1!$F$2:$XFD$61,X57+4,FALSE),0)</f>
        <v>0</v>
      </c>
      <c r="CG57">
        <f>IFERROR(VLOOKUP(CG$6,Hoja1!$F$2:$XFD$61,Y57+4,FALSE),0)</f>
        <v>0</v>
      </c>
      <c r="CH57">
        <f>IFERROR(VLOOKUP(CH$6,Hoja1!$F$2:$XFD$61,Z57+4,FALSE),0)</f>
        <v>0</v>
      </c>
      <c r="CI57">
        <f>IFERROR(VLOOKUP(CI$6,Hoja1!$F$2:$XFD$61,AA57+4,FALSE),0)</f>
        <v>0</v>
      </c>
      <c r="CJ57">
        <f>IFERROR(VLOOKUP(CJ$6,Hoja1!$F$2:$XFD$61,AB57+4,FALSE),0)</f>
        <v>0</v>
      </c>
      <c r="CK57">
        <f>IFERROR(VLOOKUP(CK$6,Hoja1!$F$2:$XFD$61,AC57+4,FALSE),0)</f>
        <v>0</v>
      </c>
      <c r="CL57">
        <f>IFERROR(VLOOKUP(CL$6,Hoja1!$F$2:$XFD$61,AD57+4,FALSE),0)</f>
        <v>0</v>
      </c>
      <c r="CM57">
        <f>IFERROR(VLOOKUP(CM$6,Hoja1!$F$2:$XFD$61,AE57+4,FALSE),0)</f>
        <v>0</v>
      </c>
      <c r="CN57">
        <f>IFERROR(VLOOKUP(CN$6,Hoja1!$F$2:$XFD$61,AF57+4,FALSE),0)</f>
        <v>0</v>
      </c>
      <c r="CO57">
        <f>IFERROR(VLOOKUP(CO$6,Hoja1!$F$2:$XFD$61,AG57+4,FALSE),0)</f>
        <v>0</v>
      </c>
      <c r="CP57">
        <f>IFERROR(VLOOKUP(CP$6,Hoja1!$F$2:$XFD$61,AH57+4,FALSE),0)</f>
        <v>0</v>
      </c>
      <c r="CQ57">
        <f>IFERROR(VLOOKUP(CQ$6,Hoja1!$F$2:$XFD$61,AI57+4,FALSE),0)</f>
        <v>0</v>
      </c>
      <c r="CR57">
        <f>IFERROR(VLOOKUP(CR$6,Hoja1!$F$2:$XFD$61,AJ57+4,FALSE),0)</f>
        <v>0</v>
      </c>
      <c r="CS57">
        <f>IFERROR(VLOOKUP(CS$6,Hoja1!$F$2:$XFD$61,AK57+4,FALSE),0)</f>
        <v>0</v>
      </c>
      <c r="CT57">
        <f>IFERROR(VLOOKUP(CT$6,Hoja1!$F$2:$XFD$61,AL57+4,FALSE),0)</f>
        <v>0</v>
      </c>
      <c r="CU57">
        <f>IFERROR(VLOOKUP(CU$6,Hoja1!$F$2:$XFD$61,AM57+4,FALSE),0)</f>
        <v>0</v>
      </c>
      <c r="CV57">
        <f>IFERROR(VLOOKUP(CV$6,Hoja1!$F$2:$XFD$61,AN57+4,FALSE),0)</f>
        <v>0</v>
      </c>
      <c r="CW57">
        <f>IFERROR(VLOOKUP(CW$6,Hoja1!$F$2:$XFD$61,AO57+4,FALSE),0)</f>
        <v>0</v>
      </c>
      <c r="CX57">
        <f>IFERROR(VLOOKUP(CX$6,Hoja1!$F$2:$XFD$61,AP57+4,FALSE),0)</f>
        <v>0</v>
      </c>
      <c r="CY57">
        <f>IFERROR(VLOOKUP(CY$6,Hoja1!$F$2:$XFD$61,AQ57+4,FALSE),0)</f>
        <v>0</v>
      </c>
      <c r="CZ57">
        <f>IFERROR(VLOOKUP(CZ$6,Hoja1!$F$2:$XFD$61,AR57+4,FALSE),0)</f>
        <v>0</v>
      </c>
      <c r="DA57">
        <f>IFERROR(VLOOKUP(DA$6,Hoja1!$F$2:$XFD$61,AS57+4,FALSE),0)</f>
        <v>0</v>
      </c>
      <c r="DB57">
        <f>IFERROR(VLOOKUP(DB$6,Hoja1!$F$2:$XFD$61,AT57+4,FALSE),0)</f>
        <v>0</v>
      </c>
      <c r="DC57">
        <f>IFERROR(VLOOKUP(DC$6,Hoja1!$F$2:$XFD$61,AU57+4,FALSE),0)</f>
        <v>0</v>
      </c>
      <c r="DD57">
        <f>IFERROR(VLOOKUP(DD$6,Hoja1!$F$2:$XFD$61,AV57+4,FALSE),0)</f>
        <v>0</v>
      </c>
      <c r="DE57">
        <f>IFERROR(VLOOKUP(DE$6,Hoja1!$F$2:$XFD$61,AW57+4,FALSE),0)</f>
        <v>0</v>
      </c>
      <c r="DF57">
        <f>IFERROR(VLOOKUP(DF$6,Hoja1!$F$2:$XFD$61,AX57+4,FALSE),0)</f>
        <v>0</v>
      </c>
      <c r="DG57">
        <f>IFERROR(VLOOKUP(DG$6,Hoja1!$F$2:$XFD$61,AY57+4,FALSE),0)</f>
        <v>0</v>
      </c>
      <c r="DH57">
        <f>IFERROR(VLOOKUP(DH$6,Hoja1!$F$2:$XFD$61,AZ57+4,FALSE),0)</f>
        <v>0</v>
      </c>
      <c r="DI57">
        <f>IFERROR(VLOOKUP(DI$6,Hoja1!$F$2:$XFD$61,BA57+4,FALSE),0)</f>
        <v>0</v>
      </c>
      <c r="DJ57">
        <f>IFERROR(VLOOKUP(DJ$6,Hoja1!$F$2:$XFD$61,BB57+4,FALSE),0)</f>
        <v>0</v>
      </c>
      <c r="DK57">
        <f>IFERROR(VLOOKUP(DK$6,Hoja1!$F$2:$XFD$61,BC57+4,FALSE),0)</f>
        <v>0</v>
      </c>
      <c r="DL57">
        <f>IFERROR(VLOOKUP(DL$6,Hoja1!$F$2:$XFD$61,BD57+4,FALSE),0)</f>
        <v>0</v>
      </c>
      <c r="DM57">
        <f>IFERROR(VLOOKUP(DM$6,Hoja1!$F$2:$XFD$61,BE57+4,FALSE),0)</f>
        <v>0</v>
      </c>
      <c r="DN57">
        <f>IFERROR(VLOOKUP(DN$6,Hoja1!$F$2:$XFD$61,BF57+4,FALSE),0)</f>
        <v>0</v>
      </c>
      <c r="DO57">
        <f>IFERROR(VLOOKUP(DO$6,Hoja1!$F$2:$XFD$61,BG57+4,FALSE),0)</f>
        <v>0</v>
      </c>
      <c r="DP57">
        <f>IFERROR(VLOOKUP(DP$6,Hoja1!$F$2:$XFD$61,BH57+4,FALSE),0)</f>
        <v>0</v>
      </c>
      <c r="DQ57">
        <f>IFERROR(VLOOKUP(DQ$6,Hoja1!$F$2:$XFD$61,BI57+4,FALSE),0)</f>
        <v>0</v>
      </c>
      <c r="DR57">
        <f>IFERROR(VLOOKUP(DR$6,Hoja1!$F$2:$XFD$61,BJ57+4,FALSE),0)</f>
        <v>0</v>
      </c>
      <c r="DS57">
        <f>IFERROR(VLOOKUP(DS$6,Hoja1!$F$2:$XFD$61,BK57+4,FALSE),0)</f>
        <v>0</v>
      </c>
      <c r="DT57">
        <f>IFERROR(VLOOKUP(DT$6,Hoja1!$F$2:$XFD$61,BL57+4,FALSE),0)</f>
        <v>0</v>
      </c>
      <c r="DU57" s="15" t="str">
        <f t="shared" si="0"/>
        <v/>
      </c>
      <c r="DV57" s="16" t="str">
        <f>IF(D57&lt;&gt;"",IF(DU57="","",IF(DU57&gt;=$DU$7*Hoja1!$E$2,4+3/($DU$7*(1-Hoja1!$E$2))*(DU57-$DU$7*Hoja1!$E$2),1+3/($DU$7*Hoja1!$E$2)*DU57)),DU57)</f>
        <v/>
      </c>
      <c r="DW57" s="47" t="b">
        <v>0</v>
      </c>
    </row>
    <row r="58" spans="1:127" ht="23.25" customHeight="1" x14ac:dyDescent="0.25">
      <c r="A58" s="17">
        <v>49</v>
      </c>
      <c r="B58" s="18"/>
      <c r="C58" s="18"/>
      <c r="D58" s="1"/>
      <c r="E58" s="28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  <c r="Z58" s="19"/>
      <c r="AA58" s="19"/>
      <c r="AB58" s="19"/>
      <c r="AC58" s="19"/>
      <c r="AD58" s="19"/>
      <c r="AE58" s="19"/>
      <c r="AF58" s="19"/>
      <c r="AG58" s="19"/>
      <c r="AH58" s="19"/>
      <c r="AI58" s="19"/>
      <c r="AJ58" s="19"/>
      <c r="AK58" s="19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/>
      <c r="AY58" s="19"/>
      <c r="AZ58" s="19"/>
      <c r="BA58" s="19"/>
      <c r="BB58" s="19"/>
      <c r="BC58" s="19"/>
      <c r="BD58" s="19"/>
      <c r="BE58" s="19"/>
      <c r="BF58" s="19"/>
      <c r="BG58" s="19"/>
      <c r="BH58" s="19"/>
      <c r="BI58" s="19"/>
      <c r="BJ58" s="19"/>
      <c r="BK58" s="19"/>
      <c r="BL58" s="29"/>
      <c r="BM58">
        <f>IFERROR(VLOOKUP(BM$6,Hoja1!$F$2:$XFD$61,E58+4,FALSE),0)</f>
        <v>0</v>
      </c>
      <c r="BN58">
        <f>IFERROR(VLOOKUP(BN$6,Hoja1!$F$2:$XFD$61,F58+4,FALSE),0)</f>
        <v>0</v>
      </c>
      <c r="BO58">
        <f>IFERROR(VLOOKUP(BO$6,Hoja1!$F$2:$XFD$61,G58+4,FALSE),0)</f>
        <v>0</v>
      </c>
      <c r="BP58">
        <f>IFERROR(VLOOKUP(BP$6,Hoja1!$F$2:$XFD$61,H58+4,FALSE),0)</f>
        <v>0</v>
      </c>
      <c r="BQ58">
        <f>IFERROR(VLOOKUP(BQ$6,Hoja1!$F$2:$XFD$61,I58+4,FALSE),0)</f>
        <v>0</v>
      </c>
      <c r="BR58">
        <f>IFERROR(VLOOKUP(BR$6,Hoja1!$F$2:$XFD$61,J58+4,FALSE),0)</f>
        <v>0</v>
      </c>
      <c r="BS58">
        <f>IFERROR(VLOOKUP(BS$6,Hoja1!$F$2:$XFD$61,K58+4,FALSE),0)</f>
        <v>0</v>
      </c>
      <c r="BT58">
        <f>IFERROR(VLOOKUP(BT$6,Hoja1!$F$2:$XFD$61,L58+4,FALSE),0)</f>
        <v>0</v>
      </c>
      <c r="BU58">
        <f>IFERROR(VLOOKUP(BU$6,Hoja1!$F$2:$XFD$61,M58+4,FALSE),0)</f>
        <v>0</v>
      </c>
      <c r="BV58">
        <f>IFERROR(VLOOKUP(BV$6,Hoja1!$F$2:$XFD$61,N58+4,FALSE),0)</f>
        <v>0</v>
      </c>
      <c r="BW58">
        <f>IFERROR(VLOOKUP(BW$6,Hoja1!$F$2:$XFD$61,O58+4,FALSE),0)</f>
        <v>0</v>
      </c>
      <c r="BX58">
        <f>IFERROR(VLOOKUP(BX$6,Hoja1!$F$2:$XFD$61,P58+4,FALSE),0)</f>
        <v>0</v>
      </c>
      <c r="BY58">
        <f>IFERROR(VLOOKUP(BY$6,Hoja1!$F$2:$XFD$61,Q58+4,FALSE),0)</f>
        <v>0</v>
      </c>
      <c r="BZ58">
        <f>IFERROR(VLOOKUP(BZ$6,Hoja1!$F$2:$XFD$61,R58+4,FALSE),0)</f>
        <v>0</v>
      </c>
      <c r="CA58">
        <f>IFERROR(VLOOKUP(CA$6,Hoja1!$F$2:$XFD$61,S58+4,FALSE),0)</f>
        <v>0</v>
      </c>
      <c r="CB58">
        <f>IFERROR(VLOOKUP(CB$6,Hoja1!$F$2:$XFD$61,T58+4,FALSE),0)</f>
        <v>0</v>
      </c>
      <c r="CC58">
        <f>IFERROR(VLOOKUP(CC$6,Hoja1!$F$2:$XFD$61,U58+4,FALSE),0)</f>
        <v>0</v>
      </c>
      <c r="CD58">
        <f>IFERROR(VLOOKUP(CD$6,Hoja1!$F$2:$XFD$61,V58+4,FALSE),0)</f>
        <v>0</v>
      </c>
      <c r="CE58">
        <f>IFERROR(VLOOKUP(CE$6,Hoja1!$F$2:$XFD$61,W58+4,FALSE),0)</f>
        <v>0</v>
      </c>
      <c r="CF58">
        <f>IFERROR(VLOOKUP(CF$6,Hoja1!$F$2:$XFD$61,X58+4,FALSE),0)</f>
        <v>0</v>
      </c>
      <c r="CG58">
        <f>IFERROR(VLOOKUP(CG$6,Hoja1!$F$2:$XFD$61,Y58+4,FALSE),0)</f>
        <v>0</v>
      </c>
      <c r="CH58">
        <f>IFERROR(VLOOKUP(CH$6,Hoja1!$F$2:$XFD$61,Z58+4,FALSE),0)</f>
        <v>0</v>
      </c>
      <c r="CI58">
        <f>IFERROR(VLOOKUP(CI$6,Hoja1!$F$2:$XFD$61,AA58+4,FALSE),0)</f>
        <v>0</v>
      </c>
      <c r="CJ58">
        <f>IFERROR(VLOOKUP(CJ$6,Hoja1!$F$2:$XFD$61,AB58+4,FALSE),0)</f>
        <v>0</v>
      </c>
      <c r="CK58">
        <f>IFERROR(VLOOKUP(CK$6,Hoja1!$F$2:$XFD$61,AC58+4,FALSE),0)</f>
        <v>0</v>
      </c>
      <c r="CL58">
        <f>IFERROR(VLOOKUP(CL$6,Hoja1!$F$2:$XFD$61,AD58+4,FALSE),0)</f>
        <v>0</v>
      </c>
      <c r="CM58">
        <f>IFERROR(VLOOKUP(CM$6,Hoja1!$F$2:$XFD$61,AE58+4,FALSE),0)</f>
        <v>0</v>
      </c>
      <c r="CN58">
        <f>IFERROR(VLOOKUP(CN$6,Hoja1!$F$2:$XFD$61,AF58+4,FALSE),0)</f>
        <v>0</v>
      </c>
      <c r="CO58">
        <f>IFERROR(VLOOKUP(CO$6,Hoja1!$F$2:$XFD$61,AG58+4,FALSE),0)</f>
        <v>0</v>
      </c>
      <c r="CP58">
        <f>IFERROR(VLOOKUP(CP$6,Hoja1!$F$2:$XFD$61,AH58+4,FALSE),0)</f>
        <v>0</v>
      </c>
      <c r="CQ58">
        <f>IFERROR(VLOOKUP(CQ$6,Hoja1!$F$2:$XFD$61,AI58+4,FALSE),0)</f>
        <v>0</v>
      </c>
      <c r="CR58">
        <f>IFERROR(VLOOKUP(CR$6,Hoja1!$F$2:$XFD$61,AJ58+4,FALSE),0)</f>
        <v>0</v>
      </c>
      <c r="CS58">
        <f>IFERROR(VLOOKUP(CS$6,Hoja1!$F$2:$XFD$61,AK58+4,FALSE),0)</f>
        <v>0</v>
      </c>
      <c r="CT58">
        <f>IFERROR(VLOOKUP(CT$6,Hoja1!$F$2:$XFD$61,AL58+4,FALSE),0)</f>
        <v>0</v>
      </c>
      <c r="CU58">
        <f>IFERROR(VLOOKUP(CU$6,Hoja1!$F$2:$XFD$61,AM58+4,FALSE),0)</f>
        <v>0</v>
      </c>
      <c r="CV58">
        <f>IFERROR(VLOOKUP(CV$6,Hoja1!$F$2:$XFD$61,AN58+4,FALSE),0)</f>
        <v>0</v>
      </c>
      <c r="CW58">
        <f>IFERROR(VLOOKUP(CW$6,Hoja1!$F$2:$XFD$61,AO58+4,FALSE),0)</f>
        <v>0</v>
      </c>
      <c r="CX58">
        <f>IFERROR(VLOOKUP(CX$6,Hoja1!$F$2:$XFD$61,AP58+4,FALSE),0)</f>
        <v>0</v>
      </c>
      <c r="CY58">
        <f>IFERROR(VLOOKUP(CY$6,Hoja1!$F$2:$XFD$61,AQ58+4,FALSE),0)</f>
        <v>0</v>
      </c>
      <c r="CZ58">
        <f>IFERROR(VLOOKUP(CZ$6,Hoja1!$F$2:$XFD$61,AR58+4,FALSE),0)</f>
        <v>0</v>
      </c>
      <c r="DA58">
        <f>IFERROR(VLOOKUP(DA$6,Hoja1!$F$2:$XFD$61,AS58+4,FALSE),0)</f>
        <v>0</v>
      </c>
      <c r="DB58">
        <f>IFERROR(VLOOKUP(DB$6,Hoja1!$F$2:$XFD$61,AT58+4,FALSE),0)</f>
        <v>0</v>
      </c>
      <c r="DC58">
        <f>IFERROR(VLOOKUP(DC$6,Hoja1!$F$2:$XFD$61,AU58+4,FALSE),0)</f>
        <v>0</v>
      </c>
      <c r="DD58">
        <f>IFERROR(VLOOKUP(DD$6,Hoja1!$F$2:$XFD$61,AV58+4,FALSE),0)</f>
        <v>0</v>
      </c>
      <c r="DE58">
        <f>IFERROR(VLOOKUP(DE$6,Hoja1!$F$2:$XFD$61,AW58+4,FALSE),0)</f>
        <v>0</v>
      </c>
      <c r="DF58">
        <f>IFERROR(VLOOKUP(DF$6,Hoja1!$F$2:$XFD$61,AX58+4,FALSE),0)</f>
        <v>0</v>
      </c>
      <c r="DG58">
        <f>IFERROR(VLOOKUP(DG$6,Hoja1!$F$2:$XFD$61,AY58+4,FALSE),0)</f>
        <v>0</v>
      </c>
      <c r="DH58">
        <f>IFERROR(VLOOKUP(DH$6,Hoja1!$F$2:$XFD$61,AZ58+4,FALSE),0)</f>
        <v>0</v>
      </c>
      <c r="DI58">
        <f>IFERROR(VLOOKUP(DI$6,Hoja1!$F$2:$XFD$61,BA58+4,FALSE),0)</f>
        <v>0</v>
      </c>
      <c r="DJ58">
        <f>IFERROR(VLOOKUP(DJ$6,Hoja1!$F$2:$XFD$61,BB58+4,FALSE),0)</f>
        <v>0</v>
      </c>
      <c r="DK58">
        <f>IFERROR(VLOOKUP(DK$6,Hoja1!$F$2:$XFD$61,BC58+4,FALSE),0)</f>
        <v>0</v>
      </c>
      <c r="DL58">
        <f>IFERROR(VLOOKUP(DL$6,Hoja1!$F$2:$XFD$61,BD58+4,FALSE),0)</f>
        <v>0</v>
      </c>
      <c r="DM58">
        <f>IFERROR(VLOOKUP(DM$6,Hoja1!$F$2:$XFD$61,BE58+4,FALSE),0)</f>
        <v>0</v>
      </c>
      <c r="DN58">
        <f>IFERROR(VLOOKUP(DN$6,Hoja1!$F$2:$XFD$61,BF58+4,FALSE),0)</f>
        <v>0</v>
      </c>
      <c r="DO58">
        <f>IFERROR(VLOOKUP(DO$6,Hoja1!$F$2:$XFD$61,BG58+4,FALSE),0)</f>
        <v>0</v>
      </c>
      <c r="DP58">
        <f>IFERROR(VLOOKUP(DP$6,Hoja1!$F$2:$XFD$61,BH58+4,FALSE),0)</f>
        <v>0</v>
      </c>
      <c r="DQ58">
        <f>IFERROR(VLOOKUP(DQ$6,Hoja1!$F$2:$XFD$61,BI58+4,FALSE),0)</f>
        <v>0</v>
      </c>
      <c r="DR58">
        <f>IFERROR(VLOOKUP(DR$6,Hoja1!$F$2:$XFD$61,BJ58+4,FALSE),0)</f>
        <v>0</v>
      </c>
      <c r="DS58">
        <f>IFERROR(VLOOKUP(DS$6,Hoja1!$F$2:$XFD$61,BK58+4,FALSE),0)</f>
        <v>0</v>
      </c>
      <c r="DT58">
        <f>IFERROR(VLOOKUP(DT$6,Hoja1!$F$2:$XFD$61,BL58+4,FALSE),0)</f>
        <v>0</v>
      </c>
      <c r="DU58" s="15" t="str">
        <f t="shared" si="0"/>
        <v/>
      </c>
      <c r="DV58" s="16" t="str">
        <f>IF(D58&lt;&gt;"",IF(DU58="","",IF(DU58&gt;=$DU$7*Hoja1!$E$2,4+3/($DU$7*(1-Hoja1!$E$2))*(DU58-$DU$7*Hoja1!$E$2),1+3/($DU$7*Hoja1!$E$2)*DU58)),DU58)</f>
        <v/>
      </c>
      <c r="DW58" s="47" t="b">
        <v>0</v>
      </c>
    </row>
    <row r="59" spans="1:127" ht="23.25" customHeight="1" x14ac:dyDescent="0.25">
      <c r="A59" s="17">
        <v>50</v>
      </c>
      <c r="B59" s="18"/>
      <c r="C59" s="18"/>
      <c r="D59" s="1"/>
      <c r="E59" s="28"/>
      <c r="F59" s="19"/>
      <c r="G59" s="19"/>
      <c r="H59" s="19"/>
      <c r="I59" s="19"/>
      <c r="J59" s="19"/>
      <c r="K59" s="19"/>
      <c r="L59" s="19"/>
      <c r="M59" s="19"/>
      <c r="N59" s="19"/>
      <c r="O59" s="19"/>
      <c r="P59" s="19"/>
      <c r="Q59" s="19"/>
      <c r="R59" s="19"/>
      <c r="S59" s="19"/>
      <c r="T59" s="19"/>
      <c r="U59" s="19"/>
      <c r="V59" s="19"/>
      <c r="W59" s="19"/>
      <c r="X59" s="19"/>
      <c r="Y59" s="19"/>
      <c r="Z59" s="19"/>
      <c r="AA59" s="19"/>
      <c r="AB59" s="19"/>
      <c r="AC59" s="19"/>
      <c r="AD59" s="19"/>
      <c r="AE59" s="19"/>
      <c r="AF59" s="19"/>
      <c r="AG59" s="19"/>
      <c r="AH59" s="19"/>
      <c r="AI59" s="19"/>
      <c r="AJ59" s="19"/>
      <c r="AK59" s="19"/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/>
      <c r="AX59" s="19"/>
      <c r="AY59" s="19"/>
      <c r="AZ59" s="19"/>
      <c r="BA59" s="19"/>
      <c r="BB59" s="19"/>
      <c r="BC59" s="19"/>
      <c r="BD59" s="19"/>
      <c r="BE59" s="19"/>
      <c r="BF59" s="19"/>
      <c r="BG59" s="19"/>
      <c r="BH59" s="19"/>
      <c r="BI59" s="19"/>
      <c r="BJ59" s="19"/>
      <c r="BK59" s="19"/>
      <c r="BL59" s="29"/>
      <c r="BM59">
        <f>IFERROR(VLOOKUP(BM$6,Hoja1!$F$2:$XFD$61,E59+4,FALSE),0)</f>
        <v>0</v>
      </c>
      <c r="BN59">
        <f>IFERROR(VLOOKUP(BN$6,Hoja1!$F$2:$XFD$61,F59+4,FALSE),0)</f>
        <v>0</v>
      </c>
      <c r="BO59">
        <f>IFERROR(VLOOKUP(BO$6,Hoja1!$F$2:$XFD$61,G59+4,FALSE),0)</f>
        <v>0</v>
      </c>
      <c r="BP59">
        <f>IFERROR(VLOOKUP(BP$6,Hoja1!$F$2:$XFD$61,H59+4,FALSE),0)</f>
        <v>0</v>
      </c>
      <c r="BQ59">
        <f>IFERROR(VLOOKUP(BQ$6,Hoja1!$F$2:$XFD$61,I59+4,FALSE),0)</f>
        <v>0</v>
      </c>
      <c r="BR59">
        <f>IFERROR(VLOOKUP(BR$6,Hoja1!$F$2:$XFD$61,J59+4,FALSE),0)</f>
        <v>0</v>
      </c>
      <c r="BS59">
        <f>IFERROR(VLOOKUP(BS$6,Hoja1!$F$2:$XFD$61,K59+4,FALSE),0)</f>
        <v>0</v>
      </c>
      <c r="BT59">
        <f>IFERROR(VLOOKUP(BT$6,Hoja1!$F$2:$XFD$61,L59+4,FALSE),0)</f>
        <v>0</v>
      </c>
      <c r="BU59">
        <f>IFERROR(VLOOKUP(BU$6,Hoja1!$F$2:$XFD$61,M59+4,FALSE),0)</f>
        <v>0</v>
      </c>
      <c r="BV59">
        <f>IFERROR(VLOOKUP(BV$6,Hoja1!$F$2:$XFD$61,N59+4,FALSE),0)</f>
        <v>0</v>
      </c>
      <c r="BW59">
        <f>IFERROR(VLOOKUP(BW$6,Hoja1!$F$2:$XFD$61,O59+4,FALSE),0)</f>
        <v>0</v>
      </c>
      <c r="BX59">
        <f>IFERROR(VLOOKUP(BX$6,Hoja1!$F$2:$XFD$61,P59+4,FALSE),0)</f>
        <v>0</v>
      </c>
      <c r="BY59">
        <f>IFERROR(VLOOKUP(BY$6,Hoja1!$F$2:$XFD$61,Q59+4,FALSE),0)</f>
        <v>0</v>
      </c>
      <c r="BZ59">
        <f>IFERROR(VLOOKUP(BZ$6,Hoja1!$F$2:$XFD$61,R59+4,FALSE),0)</f>
        <v>0</v>
      </c>
      <c r="CA59">
        <f>IFERROR(VLOOKUP(CA$6,Hoja1!$F$2:$XFD$61,S59+4,FALSE),0)</f>
        <v>0</v>
      </c>
      <c r="CB59">
        <f>IFERROR(VLOOKUP(CB$6,Hoja1!$F$2:$XFD$61,T59+4,FALSE),0)</f>
        <v>0</v>
      </c>
      <c r="CC59">
        <f>IFERROR(VLOOKUP(CC$6,Hoja1!$F$2:$XFD$61,U59+4,FALSE),0)</f>
        <v>0</v>
      </c>
      <c r="CD59">
        <f>IFERROR(VLOOKUP(CD$6,Hoja1!$F$2:$XFD$61,V59+4,FALSE),0)</f>
        <v>0</v>
      </c>
      <c r="CE59">
        <f>IFERROR(VLOOKUP(CE$6,Hoja1!$F$2:$XFD$61,W59+4,FALSE),0)</f>
        <v>0</v>
      </c>
      <c r="CF59">
        <f>IFERROR(VLOOKUP(CF$6,Hoja1!$F$2:$XFD$61,X59+4,FALSE),0)</f>
        <v>0</v>
      </c>
      <c r="CG59">
        <f>IFERROR(VLOOKUP(CG$6,Hoja1!$F$2:$XFD$61,Y59+4,FALSE),0)</f>
        <v>0</v>
      </c>
      <c r="CH59">
        <f>IFERROR(VLOOKUP(CH$6,Hoja1!$F$2:$XFD$61,Z59+4,FALSE),0)</f>
        <v>0</v>
      </c>
      <c r="CI59">
        <f>IFERROR(VLOOKUP(CI$6,Hoja1!$F$2:$XFD$61,AA59+4,FALSE),0)</f>
        <v>0</v>
      </c>
      <c r="CJ59">
        <f>IFERROR(VLOOKUP(CJ$6,Hoja1!$F$2:$XFD$61,AB59+4,FALSE),0)</f>
        <v>0</v>
      </c>
      <c r="CK59">
        <f>IFERROR(VLOOKUP(CK$6,Hoja1!$F$2:$XFD$61,AC59+4,FALSE),0)</f>
        <v>0</v>
      </c>
      <c r="CL59">
        <f>IFERROR(VLOOKUP(CL$6,Hoja1!$F$2:$XFD$61,AD59+4,FALSE),0)</f>
        <v>0</v>
      </c>
      <c r="CM59">
        <f>IFERROR(VLOOKUP(CM$6,Hoja1!$F$2:$XFD$61,AE59+4,FALSE),0)</f>
        <v>0</v>
      </c>
      <c r="CN59">
        <f>IFERROR(VLOOKUP(CN$6,Hoja1!$F$2:$XFD$61,AF59+4,FALSE),0)</f>
        <v>0</v>
      </c>
      <c r="CO59">
        <f>IFERROR(VLOOKUP(CO$6,Hoja1!$F$2:$XFD$61,AG59+4,FALSE),0)</f>
        <v>0</v>
      </c>
      <c r="CP59">
        <f>IFERROR(VLOOKUP(CP$6,Hoja1!$F$2:$XFD$61,AH59+4,FALSE),0)</f>
        <v>0</v>
      </c>
      <c r="CQ59">
        <f>IFERROR(VLOOKUP(CQ$6,Hoja1!$F$2:$XFD$61,AI59+4,FALSE),0)</f>
        <v>0</v>
      </c>
      <c r="CR59">
        <f>IFERROR(VLOOKUP(CR$6,Hoja1!$F$2:$XFD$61,AJ59+4,FALSE),0)</f>
        <v>0</v>
      </c>
      <c r="CS59">
        <f>IFERROR(VLOOKUP(CS$6,Hoja1!$F$2:$XFD$61,AK59+4,FALSE),0)</f>
        <v>0</v>
      </c>
      <c r="CT59">
        <f>IFERROR(VLOOKUP(CT$6,Hoja1!$F$2:$XFD$61,AL59+4,FALSE),0)</f>
        <v>0</v>
      </c>
      <c r="CU59">
        <f>IFERROR(VLOOKUP(CU$6,Hoja1!$F$2:$XFD$61,AM59+4,FALSE),0)</f>
        <v>0</v>
      </c>
      <c r="CV59">
        <f>IFERROR(VLOOKUP(CV$6,Hoja1!$F$2:$XFD$61,AN59+4,FALSE),0)</f>
        <v>0</v>
      </c>
      <c r="CW59">
        <f>IFERROR(VLOOKUP(CW$6,Hoja1!$F$2:$XFD$61,AO59+4,FALSE),0)</f>
        <v>0</v>
      </c>
      <c r="CX59">
        <f>IFERROR(VLOOKUP(CX$6,Hoja1!$F$2:$XFD$61,AP59+4,FALSE),0)</f>
        <v>0</v>
      </c>
      <c r="CY59">
        <f>IFERROR(VLOOKUP(CY$6,Hoja1!$F$2:$XFD$61,AQ59+4,FALSE),0)</f>
        <v>0</v>
      </c>
      <c r="CZ59">
        <f>IFERROR(VLOOKUP(CZ$6,Hoja1!$F$2:$XFD$61,AR59+4,FALSE),0)</f>
        <v>0</v>
      </c>
      <c r="DA59">
        <f>IFERROR(VLOOKUP(DA$6,Hoja1!$F$2:$XFD$61,AS59+4,FALSE),0)</f>
        <v>0</v>
      </c>
      <c r="DB59">
        <f>IFERROR(VLOOKUP(DB$6,Hoja1!$F$2:$XFD$61,AT59+4,FALSE),0)</f>
        <v>0</v>
      </c>
      <c r="DC59">
        <f>IFERROR(VLOOKUP(DC$6,Hoja1!$F$2:$XFD$61,AU59+4,FALSE),0)</f>
        <v>0</v>
      </c>
      <c r="DD59">
        <f>IFERROR(VLOOKUP(DD$6,Hoja1!$F$2:$XFD$61,AV59+4,FALSE),0)</f>
        <v>0</v>
      </c>
      <c r="DE59">
        <f>IFERROR(VLOOKUP(DE$6,Hoja1!$F$2:$XFD$61,AW59+4,FALSE),0)</f>
        <v>0</v>
      </c>
      <c r="DF59">
        <f>IFERROR(VLOOKUP(DF$6,Hoja1!$F$2:$XFD$61,AX59+4,FALSE),0)</f>
        <v>0</v>
      </c>
      <c r="DG59">
        <f>IFERROR(VLOOKUP(DG$6,Hoja1!$F$2:$XFD$61,AY59+4,FALSE),0)</f>
        <v>0</v>
      </c>
      <c r="DH59">
        <f>IFERROR(VLOOKUP(DH$6,Hoja1!$F$2:$XFD$61,AZ59+4,FALSE),0)</f>
        <v>0</v>
      </c>
      <c r="DI59">
        <f>IFERROR(VLOOKUP(DI$6,Hoja1!$F$2:$XFD$61,BA59+4,FALSE),0)</f>
        <v>0</v>
      </c>
      <c r="DJ59">
        <f>IFERROR(VLOOKUP(DJ$6,Hoja1!$F$2:$XFD$61,BB59+4,FALSE),0)</f>
        <v>0</v>
      </c>
      <c r="DK59">
        <f>IFERROR(VLOOKUP(DK$6,Hoja1!$F$2:$XFD$61,BC59+4,FALSE),0)</f>
        <v>0</v>
      </c>
      <c r="DL59">
        <f>IFERROR(VLOOKUP(DL$6,Hoja1!$F$2:$XFD$61,BD59+4,FALSE),0)</f>
        <v>0</v>
      </c>
      <c r="DM59">
        <f>IFERROR(VLOOKUP(DM$6,Hoja1!$F$2:$XFD$61,BE59+4,FALSE),0)</f>
        <v>0</v>
      </c>
      <c r="DN59">
        <f>IFERROR(VLOOKUP(DN$6,Hoja1!$F$2:$XFD$61,BF59+4,FALSE),0)</f>
        <v>0</v>
      </c>
      <c r="DO59">
        <f>IFERROR(VLOOKUP(DO$6,Hoja1!$F$2:$XFD$61,BG59+4,FALSE),0)</f>
        <v>0</v>
      </c>
      <c r="DP59">
        <f>IFERROR(VLOOKUP(DP$6,Hoja1!$F$2:$XFD$61,BH59+4,FALSE),0)</f>
        <v>0</v>
      </c>
      <c r="DQ59">
        <f>IFERROR(VLOOKUP(DQ$6,Hoja1!$F$2:$XFD$61,BI59+4,FALSE),0)</f>
        <v>0</v>
      </c>
      <c r="DR59">
        <f>IFERROR(VLOOKUP(DR$6,Hoja1!$F$2:$XFD$61,BJ59+4,FALSE),0)</f>
        <v>0</v>
      </c>
      <c r="DS59">
        <f>IFERROR(VLOOKUP(DS$6,Hoja1!$F$2:$XFD$61,BK59+4,FALSE),0)</f>
        <v>0</v>
      </c>
      <c r="DT59">
        <f>IFERROR(VLOOKUP(DT$6,Hoja1!$F$2:$XFD$61,BL59+4,FALSE),0)</f>
        <v>0</v>
      </c>
      <c r="DU59" s="15" t="str">
        <f t="shared" si="0"/>
        <v/>
      </c>
      <c r="DV59" s="16" t="str">
        <f>IF(D59&lt;&gt;"",IF(DU59="","",IF(DU59&gt;=$DU$7*Hoja1!$E$2,4+3/($DU$7*(1-Hoja1!$E$2))*(DU59-$DU$7*Hoja1!$E$2),1+3/($DU$7*Hoja1!$E$2)*DU59)),DU59)</f>
        <v/>
      </c>
      <c r="DW59" s="47" t="b">
        <v>0</v>
      </c>
    </row>
    <row r="60" spans="1:127" ht="23.25" customHeight="1" x14ac:dyDescent="0.25">
      <c r="A60" s="17">
        <v>51</v>
      </c>
      <c r="B60" s="18"/>
      <c r="C60" s="18"/>
      <c r="D60" s="1"/>
      <c r="E60" s="28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  <c r="Z60" s="19"/>
      <c r="AA60" s="19"/>
      <c r="AB60" s="19"/>
      <c r="AC60" s="19"/>
      <c r="AD60" s="19"/>
      <c r="AE60" s="19"/>
      <c r="AF60" s="19"/>
      <c r="AG60" s="19"/>
      <c r="AH60" s="19"/>
      <c r="AI60" s="19"/>
      <c r="AJ60" s="19"/>
      <c r="AK60" s="19"/>
      <c r="AL60" s="19"/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/>
      <c r="AY60" s="19"/>
      <c r="AZ60" s="19"/>
      <c r="BA60" s="19"/>
      <c r="BB60" s="19"/>
      <c r="BC60" s="19"/>
      <c r="BD60" s="19"/>
      <c r="BE60" s="19"/>
      <c r="BF60" s="19"/>
      <c r="BG60" s="19"/>
      <c r="BH60" s="19"/>
      <c r="BI60" s="19"/>
      <c r="BJ60" s="19"/>
      <c r="BK60" s="19"/>
      <c r="BL60" s="29"/>
      <c r="BM60">
        <f>IFERROR(VLOOKUP(BM$6,Hoja1!$F$2:$XFD$61,E60+4,FALSE),0)</f>
        <v>0</v>
      </c>
      <c r="BN60">
        <f>IFERROR(VLOOKUP(BN$6,Hoja1!$F$2:$XFD$61,F60+4,FALSE),0)</f>
        <v>0</v>
      </c>
      <c r="BO60">
        <f>IFERROR(VLOOKUP(BO$6,Hoja1!$F$2:$XFD$61,G60+4,FALSE),0)</f>
        <v>0</v>
      </c>
      <c r="BP60">
        <f>IFERROR(VLOOKUP(BP$6,Hoja1!$F$2:$XFD$61,H60+4,FALSE),0)</f>
        <v>0</v>
      </c>
      <c r="BQ60">
        <f>IFERROR(VLOOKUP(BQ$6,Hoja1!$F$2:$XFD$61,I60+4,FALSE),0)</f>
        <v>0</v>
      </c>
      <c r="BR60">
        <f>IFERROR(VLOOKUP(BR$6,Hoja1!$F$2:$XFD$61,J60+4,FALSE),0)</f>
        <v>0</v>
      </c>
      <c r="BS60">
        <f>IFERROR(VLOOKUP(BS$6,Hoja1!$F$2:$XFD$61,K60+4,FALSE),0)</f>
        <v>0</v>
      </c>
      <c r="BT60">
        <f>IFERROR(VLOOKUP(BT$6,Hoja1!$F$2:$XFD$61,L60+4,FALSE),0)</f>
        <v>0</v>
      </c>
      <c r="BU60">
        <f>IFERROR(VLOOKUP(BU$6,Hoja1!$F$2:$XFD$61,M60+4,FALSE),0)</f>
        <v>0</v>
      </c>
      <c r="BV60">
        <f>IFERROR(VLOOKUP(BV$6,Hoja1!$F$2:$XFD$61,N60+4,FALSE),0)</f>
        <v>0</v>
      </c>
      <c r="BW60">
        <f>IFERROR(VLOOKUP(BW$6,Hoja1!$F$2:$XFD$61,O60+4,FALSE),0)</f>
        <v>0</v>
      </c>
      <c r="BX60">
        <f>IFERROR(VLOOKUP(BX$6,Hoja1!$F$2:$XFD$61,P60+4,FALSE),0)</f>
        <v>0</v>
      </c>
      <c r="BY60">
        <f>IFERROR(VLOOKUP(BY$6,Hoja1!$F$2:$XFD$61,Q60+4,FALSE),0)</f>
        <v>0</v>
      </c>
      <c r="BZ60">
        <f>IFERROR(VLOOKUP(BZ$6,Hoja1!$F$2:$XFD$61,R60+4,FALSE),0)</f>
        <v>0</v>
      </c>
      <c r="CA60">
        <f>IFERROR(VLOOKUP(CA$6,Hoja1!$F$2:$XFD$61,S60+4,FALSE),0)</f>
        <v>0</v>
      </c>
      <c r="CB60">
        <f>IFERROR(VLOOKUP(CB$6,Hoja1!$F$2:$XFD$61,T60+4,FALSE),0)</f>
        <v>0</v>
      </c>
      <c r="CC60">
        <f>IFERROR(VLOOKUP(CC$6,Hoja1!$F$2:$XFD$61,U60+4,FALSE),0)</f>
        <v>0</v>
      </c>
      <c r="CD60">
        <f>IFERROR(VLOOKUP(CD$6,Hoja1!$F$2:$XFD$61,V60+4,FALSE),0)</f>
        <v>0</v>
      </c>
      <c r="CE60">
        <f>IFERROR(VLOOKUP(CE$6,Hoja1!$F$2:$XFD$61,W60+4,FALSE),0)</f>
        <v>0</v>
      </c>
      <c r="CF60">
        <f>IFERROR(VLOOKUP(CF$6,Hoja1!$F$2:$XFD$61,X60+4,FALSE),0)</f>
        <v>0</v>
      </c>
      <c r="CG60">
        <f>IFERROR(VLOOKUP(CG$6,Hoja1!$F$2:$XFD$61,Y60+4,FALSE),0)</f>
        <v>0</v>
      </c>
      <c r="CH60">
        <f>IFERROR(VLOOKUP(CH$6,Hoja1!$F$2:$XFD$61,Z60+4,FALSE),0)</f>
        <v>0</v>
      </c>
      <c r="CI60">
        <f>IFERROR(VLOOKUP(CI$6,Hoja1!$F$2:$XFD$61,AA60+4,FALSE),0)</f>
        <v>0</v>
      </c>
      <c r="CJ60">
        <f>IFERROR(VLOOKUP(CJ$6,Hoja1!$F$2:$XFD$61,AB60+4,FALSE),0)</f>
        <v>0</v>
      </c>
      <c r="CK60">
        <f>IFERROR(VLOOKUP(CK$6,Hoja1!$F$2:$XFD$61,AC60+4,FALSE),0)</f>
        <v>0</v>
      </c>
      <c r="CL60">
        <f>IFERROR(VLOOKUP(CL$6,Hoja1!$F$2:$XFD$61,AD60+4,FALSE),0)</f>
        <v>0</v>
      </c>
      <c r="CM60">
        <f>IFERROR(VLOOKUP(CM$6,Hoja1!$F$2:$XFD$61,AE60+4,FALSE),0)</f>
        <v>0</v>
      </c>
      <c r="CN60">
        <f>IFERROR(VLOOKUP(CN$6,Hoja1!$F$2:$XFD$61,AF60+4,FALSE),0)</f>
        <v>0</v>
      </c>
      <c r="CO60">
        <f>IFERROR(VLOOKUP(CO$6,Hoja1!$F$2:$XFD$61,AG60+4,FALSE),0)</f>
        <v>0</v>
      </c>
      <c r="CP60">
        <f>IFERROR(VLOOKUP(CP$6,Hoja1!$F$2:$XFD$61,AH60+4,FALSE),0)</f>
        <v>0</v>
      </c>
      <c r="CQ60">
        <f>IFERROR(VLOOKUP(CQ$6,Hoja1!$F$2:$XFD$61,AI60+4,FALSE),0)</f>
        <v>0</v>
      </c>
      <c r="CR60">
        <f>IFERROR(VLOOKUP(CR$6,Hoja1!$F$2:$XFD$61,AJ60+4,FALSE),0)</f>
        <v>0</v>
      </c>
      <c r="CS60">
        <f>IFERROR(VLOOKUP(CS$6,Hoja1!$F$2:$XFD$61,AK60+4,FALSE),0)</f>
        <v>0</v>
      </c>
      <c r="CT60">
        <f>IFERROR(VLOOKUP(CT$6,Hoja1!$F$2:$XFD$61,AL60+4,FALSE),0)</f>
        <v>0</v>
      </c>
      <c r="CU60">
        <f>IFERROR(VLOOKUP(CU$6,Hoja1!$F$2:$XFD$61,AM60+4,FALSE),0)</f>
        <v>0</v>
      </c>
      <c r="CV60">
        <f>IFERROR(VLOOKUP(CV$6,Hoja1!$F$2:$XFD$61,AN60+4,FALSE),0)</f>
        <v>0</v>
      </c>
      <c r="CW60">
        <f>IFERROR(VLOOKUP(CW$6,Hoja1!$F$2:$XFD$61,AO60+4,FALSE),0)</f>
        <v>0</v>
      </c>
      <c r="CX60">
        <f>IFERROR(VLOOKUP(CX$6,Hoja1!$F$2:$XFD$61,AP60+4,FALSE),0)</f>
        <v>0</v>
      </c>
      <c r="CY60">
        <f>IFERROR(VLOOKUP(CY$6,Hoja1!$F$2:$XFD$61,AQ60+4,FALSE),0)</f>
        <v>0</v>
      </c>
      <c r="CZ60">
        <f>IFERROR(VLOOKUP(CZ$6,Hoja1!$F$2:$XFD$61,AR60+4,FALSE),0)</f>
        <v>0</v>
      </c>
      <c r="DA60">
        <f>IFERROR(VLOOKUP(DA$6,Hoja1!$F$2:$XFD$61,AS60+4,FALSE),0)</f>
        <v>0</v>
      </c>
      <c r="DB60">
        <f>IFERROR(VLOOKUP(DB$6,Hoja1!$F$2:$XFD$61,AT60+4,FALSE),0)</f>
        <v>0</v>
      </c>
      <c r="DC60">
        <f>IFERROR(VLOOKUP(DC$6,Hoja1!$F$2:$XFD$61,AU60+4,FALSE),0)</f>
        <v>0</v>
      </c>
      <c r="DD60">
        <f>IFERROR(VLOOKUP(DD$6,Hoja1!$F$2:$XFD$61,AV60+4,FALSE),0)</f>
        <v>0</v>
      </c>
      <c r="DE60">
        <f>IFERROR(VLOOKUP(DE$6,Hoja1!$F$2:$XFD$61,AW60+4,FALSE),0)</f>
        <v>0</v>
      </c>
      <c r="DF60">
        <f>IFERROR(VLOOKUP(DF$6,Hoja1!$F$2:$XFD$61,AX60+4,FALSE),0)</f>
        <v>0</v>
      </c>
      <c r="DG60">
        <f>IFERROR(VLOOKUP(DG$6,Hoja1!$F$2:$XFD$61,AY60+4,FALSE),0)</f>
        <v>0</v>
      </c>
      <c r="DH60">
        <f>IFERROR(VLOOKUP(DH$6,Hoja1!$F$2:$XFD$61,AZ60+4,FALSE),0)</f>
        <v>0</v>
      </c>
      <c r="DI60">
        <f>IFERROR(VLOOKUP(DI$6,Hoja1!$F$2:$XFD$61,BA60+4,FALSE),0)</f>
        <v>0</v>
      </c>
      <c r="DJ60">
        <f>IFERROR(VLOOKUP(DJ$6,Hoja1!$F$2:$XFD$61,BB60+4,FALSE),0)</f>
        <v>0</v>
      </c>
      <c r="DK60">
        <f>IFERROR(VLOOKUP(DK$6,Hoja1!$F$2:$XFD$61,BC60+4,FALSE),0)</f>
        <v>0</v>
      </c>
      <c r="DL60">
        <f>IFERROR(VLOOKUP(DL$6,Hoja1!$F$2:$XFD$61,BD60+4,FALSE),0)</f>
        <v>0</v>
      </c>
      <c r="DM60">
        <f>IFERROR(VLOOKUP(DM$6,Hoja1!$F$2:$XFD$61,BE60+4,FALSE),0)</f>
        <v>0</v>
      </c>
      <c r="DN60">
        <f>IFERROR(VLOOKUP(DN$6,Hoja1!$F$2:$XFD$61,BF60+4,FALSE),0)</f>
        <v>0</v>
      </c>
      <c r="DO60">
        <f>IFERROR(VLOOKUP(DO$6,Hoja1!$F$2:$XFD$61,BG60+4,FALSE),0)</f>
        <v>0</v>
      </c>
      <c r="DP60">
        <f>IFERROR(VLOOKUP(DP$6,Hoja1!$F$2:$XFD$61,BH60+4,FALSE),0)</f>
        <v>0</v>
      </c>
      <c r="DQ60">
        <f>IFERROR(VLOOKUP(DQ$6,Hoja1!$F$2:$XFD$61,BI60+4,FALSE),0)</f>
        <v>0</v>
      </c>
      <c r="DR60">
        <f>IFERROR(VLOOKUP(DR$6,Hoja1!$F$2:$XFD$61,BJ60+4,FALSE),0)</f>
        <v>0</v>
      </c>
      <c r="DS60">
        <f>IFERROR(VLOOKUP(DS$6,Hoja1!$F$2:$XFD$61,BK60+4,FALSE),0)</f>
        <v>0</v>
      </c>
      <c r="DT60">
        <f>IFERROR(VLOOKUP(DT$6,Hoja1!$F$2:$XFD$61,BL60+4,FALSE),0)</f>
        <v>0</v>
      </c>
      <c r="DU60" s="15" t="str">
        <f t="shared" si="0"/>
        <v/>
      </c>
      <c r="DV60" s="16" t="str">
        <f>IF(D60&lt;&gt;"",IF(DU60="","",IF(DU60&gt;=$DU$7*Hoja1!$E$2,4+3/($DU$7*(1-Hoja1!$E$2))*(DU60-$DU$7*Hoja1!$E$2),1+3/($DU$7*Hoja1!$E$2)*DU60)),DU60)</f>
        <v/>
      </c>
      <c r="DW60" s="47" t="b">
        <v>0</v>
      </c>
    </row>
    <row r="61" spans="1:127" ht="23.25" customHeight="1" x14ac:dyDescent="0.25">
      <c r="A61" s="17">
        <v>52</v>
      </c>
      <c r="B61" s="18"/>
      <c r="C61" s="18"/>
      <c r="D61" s="1"/>
      <c r="E61" s="28"/>
      <c r="F61" s="19"/>
      <c r="G61" s="19"/>
      <c r="H61" s="19"/>
      <c r="I61" s="19"/>
      <c r="J61" s="19"/>
      <c r="K61" s="19"/>
      <c r="L61" s="19"/>
      <c r="M61" s="19"/>
      <c r="N61" s="19"/>
      <c r="O61" s="19"/>
      <c r="P61" s="19"/>
      <c r="Q61" s="19"/>
      <c r="R61" s="19"/>
      <c r="S61" s="19"/>
      <c r="T61" s="19"/>
      <c r="U61" s="19"/>
      <c r="V61" s="19"/>
      <c r="W61" s="19"/>
      <c r="X61" s="19"/>
      <c r="Y61" s="19"/>
      <c r="Z61" s="19"/>
      <c r="AA61" s="19"/>
      <c r="AB61" s="19"/>
      <c r="AC61" s="19"/>
      <c r="AD61" s="19"/>
      <c r="AE61" s="19"/>
      <c r="AF61" s="19"/>
      <c r="AG61" s="19"/>
      <c r="AH61" s="19"/>
      <c r="AI61" s="19"/>
      <c r="AJ61" s="19"/>
      <c r="AK61" s="19"/>
      <c r="AL61" s="19"/>
      <c r="AM61" s="19"/>
      <c r="AN61" s="19"/>
      <c r="AO61" s="19"/>
      <c r="AP61" s="19"/>
      <c r="AQ61" s="19"/>
      <c r="AR61" s="19"/>
      <c r="AS61" s="19"/>
      <c r="AT61" s="19"/>
      <c r="AU61" s="19"/>
      <c r="AV61" s="19"/>
      <c r="AW61" s="19"/>
      <c r="AX61" s="19"/>
      <c r="AY61" s="19"/>
      <c r="AZ61" s="19"/>
      <c r="BA61" s="19"/>
      <c r="BB61" s="19"/>
      <c r="BC61" s="19"/>
      <c r="BD61" s="19"/>
      <c r="BE61" s="19"/>
      <c r="BF61" s="19"/>
      <c r="BG61" s="19"/>
      <c r="BH61" s="19"/>
      <c r="BI61" s="19"/>
      <c r="BJ61" s="19"/>
      <c r="BK61" s="19"/>
      <c r="BL61" s="29"/>
      <c r="BM61">
        <f>IFERROR(VLOOKUP(BM$6,Hoja1!$F$2:$XFD$61,E61+4,FALSE),0)</f>
        <v>0</v>
      </c>
      <c r="BN61">
        <f>IFERROR(VLOOKUP(BN$6,Hoja1!$F$2:$XFD$61,F61+4,FALSE),0)</f>
        <v>0</v>
      </c>
      <c r="BO61">
        <f>IFERROR(VLOOKUP(BO$6,Hoja1!$F$2:$XFD$61,G61+4,FALSE),0)</f>
        <v>0</v>
      </c>
      <c r="BP61">
        <f>IFERROR(VLOOKUP(BP$6,Hoja1!$F$2:$XFD$61,H61+4,FALSE),0)</f>
        <v>0</v>
      </c>
      <c r="BQ61">
        <f>IFERROR(VLOOKUP(BQ$6,Hoja1!$F$2:$XFD$61,I61+4,FALSE),0)</f>
        <v>0</v>
      </c>
      <c r="BR61">
        <f>IFERROR(VLOOKUP(BR$6,Hoja1!$F$2:$XFD$61,J61+4,FALSE),0)</f>
        <v>0</v>
      </c>
      <c r="BS61">
        <f>IFERROR(VLOOKUP(BS$6,Hoja1!$F$2:$XFD$61,K61+4,FALSE),0)</f>
        <v>0</v>
      </c>
      <c r="BT61">
        <f>IFERROR(VLOOKUP(BT$6,Hoja1!$F$2:$XFD$61,L61+4,FALSE),0)</f>
        <v>0</v>
      </c>
      <c r="BU61">
        <f>IFERROR(VLOOKUP(BU$6,Hoja1!$F$2:$XFD$61,M61+4,FALSE),0)</f>
        <v>0</v>
      </c>
      <c r="BV61">
        <f>IFERROR(VLOOKUP(BV$6,Hoja1!$F$2:$XFD$61,N61+4,FALSE),0)</f>
        <v>0</v>
      </c>
      <c r="BW61">
        <f>IFERROR(VLOOKUP(BW$6,Hoja1!$F$2:$XFD$61,O61+4,FALSE),0)</f>
        <v>0</v>
      </c>
      <c r="BX61">
        <f>IFERROR(VLOOKUP(BX$6,Hoja1!$F$2:$XFD$61,P61+4,FALSE),0)</f>
        <v>0</v>
      </c>
      <c r="BY61">
        <f>IFERROR(VLOOKUP(BY$6,Hoja1!$F$2:$XFD$61,Q61+4,FALSE),0)</f>
        <v>0</v>
      </c>
      <c r="BZ61">
        <f>IFERROR(VLOOKUP(BZ$6,Hoja1!$F$2:$XFD$61,R61+4,FALSE),0)</f>
        <v>0</v>
      </c>
      <c r="CA61">
        <f>IFERROR(VLOOKUP(CA$6,Hoja1!$F$2:$XFD$61,S61+4,FALSE),0)</f>
        <v>0</v>
      </c>
      <c r="CB61">
        <f>IFERROR(VLOOKUP(CB$6,Hoja1!$F$2:$XFD$61,T61+4,FALSE),0)</f>
        <v>0</v>
      </c>
      <c r="CC61">
        <f>IFERROR(VLOOKUP(CC$6,Hoja1!$F$2:$XFD$61,U61+4,FALSE),0)</f>
        <v>0</v>
      </c>
      <c r="CD61">
        <f>IFERROR(VLOOKUP(CD$6,Hoja1!$F$2:$XFD$61,V61+4,FALSE),0)</f>
        <v>0</v>
      </c>
      <c r="CE61">
        <f>IFERROR(VLOOKUP(CE$6,Hoja1!$F$2:$XFD$61,W61+4,FALSE),0)</f>
        <v>0</v>
      </c>
      <c r="CF61">
        <f>IFERROR(VLOOKUP(CF$6,Hoja1!$F$2:$XFD$61,X61+4,FALSE),0)</f>
        <v>0</v>
      </c>
      <c r="CG61">
        <f>IFERROR(VLOOKUP(CG$6,Hoja1!$F$2:$XFD$61,Y61+4,FALSE),0)</f>
        <v>0</v>
      </c>
      <c r="CH61">
        <f>IFERROR(VLOOKUP(CH$6,Hoja1!$F$2:$XFD$61,Z61+4,FALSE),0)</f>
        <v>0</v>
      </c>
      <c r="CI61">
        <f>IFERROR(VLOOKUP(CI$6,Hoja1!$F$2:$XFD$61,AA61+4,FALSE),0)</f>
        <v>0</v>
      </c>
      <c r="CJ61">
        <f>IFERROR(VLOOKUP(CJ$6,Hoja1!$F$2:$XFD$61,AB61+4,FALSE),0)</f>
        <v>0</v>
      </c>
      <c r="CK61">
        <f>IFERROR(VLOOKUP(CK$6,Hoja1!$F$2:$XFD$61,AC61+4,FALSE),0)</f>
        <v>0</v>
      </c>
      <c r="CL61">
        <f>IFERROR(VLOOKUP(CL$6,Hoja1!$F$2:$XFD$61,AD61+4,FALSE),0)</f>
        <v>0</v>
      </c>
      <c r="CM61">
        <f>IFERROR(VLOOKUP(CM$6,Hoja1!$F$2:$XFD$61,AE61+4,FALSE),0)</f>
        <v>0</v>
      </c>
      <c r="CN61">
        <f>IFERROR(VLOOKUP(CN$6,Hoja1!$F$2:$XFD$61,AF61+4,FALSE),0)</f>
        <v>0</v>
      </c>
      <c r="CO61">
        <f>IFERROR(VLOOKUP(CO$6,Hoja1!$F$2:$XFD$61,AG61+4,FALSE),0)</f>
        <v>0</v>
      </c>
      <c r="CP61">
        <f>IFERROR(VLOOKUP(CP$6,Hoja1!$F$2:$XFD$61,AH61+4,FALSE),0)</f>
        <v>0</v>
      </c>
      <c r="CQ61">
        <f>IFERROR(VLOOKUP(CQ$6,Hoja1!$F$2:$XFD$61,AI61+4,FALSE),0)</f>
        <v>0</v>
      </c>
      <c r="CR61">
        <f>IFERROR(VLOOKUP(CR$6,Hoja1!$F$2:$XFD$61,AJ61+4,FALSE),0)</f>
        <v>0</v>
      </c>
      <c r="CS61">
        <f>IFERROR(VLOOKUP(CS$6,Hoja1!$F$2:$XFD$61,AK61+4,FALSE),0)</f>
        <v>0</v>
      </c>
      <c r="CT61">
        <f>IFERROR(VLOOKUP(CT$6,Hoja1!$F$2:$XFD$61,AL61+4,FALSE),0)</f>
        <v>0</v>
      </c>
      <c r="CU61">
        <f>IFERROR(VLOOKUP(CU$6,Hoja1!$F$2:$XFD$61,AM61+4,FALSE),0)</f>
        <v>0</v>
      </c>
      <c r="CV61">
        <f>IFERROR(VLOOKUP(CV$6,Hoja1!$F$2:$XFD$61,AN61+4,FALSE),0)</f>
        <v>0</v>
      </c>
      <c r="CW61">
        <f>IFERROR(VLOOKUP(CW$6,Hoja1!$F$2:$XFD$61,AO61+4,FALSE),0)</f>
        <v>0</v>
      </c>
      <c r="CX61">
        <f>IFERROR(VLOOKUP(CX$6,Hoja1!$F$2:$XFD$61,AP61+4,FALSE),0)</f>
        <v>0</v>
      </c>
      <c r="CY61">
        <f>IFERROR(VLOOKUP(CY$6,Hoja1!$F$2:$XFD$61,AQ61+4,FALSE),0)</f>
        <v>0</v>
      </c>
      <c r="CZ61">
        <f>IFERROR(VLOOKUP(CZ$6,Hoja1!$F$2:$XFD$61,AR61+4,FALSE),0)</f>
        <v>0</v>
      </c>
      <c r="DA61">
        <f>IFERROR(VLOOKUP(DA$6,Hoja1!$F$2:$XFD$61,AS61+4,FALSE),0)</f>
        <v>0</v>
      </c>
      <c r="DB61">
        <f>IFERROR(VLOOKUP(DB$6,Hoja1!$F$2:$XFD$61,AT61+4,FALSE),0)</f>
        <v>0</v>
      </c>
      <c r="DC61">
        <f>IFERROR(VLOOKUP(DC$6,Hoja1!$F$2:$XFD$61,AU61+4,FALSE),0)</f>
        <v>0</v>
      </c>
      <c r="DD61">
        <f>IFERROR(VLOOKUP(DD$6,Hoja1!$F$2:$XFD$61,AV61+4,FALSE),0)</f>
        <v>0</v>
      </c>
      <c r="DE61">
        <f>IFERROR(VLOOKUP(DE$6,Hoja1!$F$2:$XFD$61,AW61+4,FALSE),0)</f>
        <v>0</v>
      </c>
      <c r="DF61">
        <f>IFERROR(VLOOKUP(DF$6,Hoja1!$F$2:$XFD$61,AX61+4,FALSE),0)</f>
        <v>0</v>
      </c>
      <c r="DG61">
        <f>IFERROR(VLOOKUP(DG$6,Hoja1!$F$2:$XFD$61,AY61+4,FALSE),0)</f>
        <v>0</v>
      </c>
      <c r="DH61">
        <f>IFERROR(VLOOKUP(DH$6,Hoja1!$F$2:$XFD$61,AZ61+4,FALSE),0)</f>
        <v>0</v>
      </c>
      <c r="DI61">
        <f>IFERROR(VLOOKUP(DI$6,Hoja1!$F$2:$XFD$61,BA61+4,FALSE),0)</f>
        <v>0</v>
      </c>
      <c r="DJ61">
        <f>IFERROR(VLOOKUP(DJ$6,Hoja1!$F$2:$XFD$61,BB61+4,FALSE),0)</f>
        <v>0</v>
      </c>
      <c r="DK61">
        <f>IFERROR(VLOOKUP(DK$6,Hoja1!$F$2:$XFD$61,BC61+4,FALSE),0)</f>
        <v>0</v>
      </c>
      <c r="DL61">
        <f>IFERROR(VLOOKUP(DL$6,Hoja1!$F$2:$XFD$61,BD61+4,FALSE),0)</f>
        <v>0</v>
      </c>
      <c r="DM61">
        <f>IFERROR(VLOOKUP(DM$6,Hoja1!$F$2:$XFD$61,BE61+4,FALSE),0)</f>
        <v>0</v>
      </c>
      <c r="DN61">
        <f>IFERROR(VLOOKUP(DN$6,Hoja1!$F$2:$XFD$61,BF61+4,FALSE),0)</f>
        <v>0</v>
      </c>
      <c r="DO61">
        <f>IFERROR(VLOOKUP(DO$6,Hoja1!$F$2:$XFD$61,BG61+4,FALSE),0)</f>
        <v>0</v>
      </c>
      <c r="DP61">
        <f>IFERROR(VLOOKUP(DP$6,Hoja1!$F$2:$XFD$61,BH61+4,FALSE),0)</f>
        <v>0</v>
      </c>
      <c r="DQ61">
        <f>IFERROR(VLOOKUP(DQ$6,Hoja1!$F$2:$XFD$61,BI61+4,FALSE),0)</f>
        <v>0</v>
      </c>
      <c r="DR61">
        <f>IFERROR(VLOOKUP(DR$6,Hoja1!$F$2:$XFD$61,BJ61+4,FALSE),0)</f>
        <v>0</v>
      </c>
      <c r="DS61">
        <f>IFERROR(VLOOKUP(DS$6,Hoja1!$F$2:$XFD$61,BK61+4,FALSE),0)</f>
        <v>0</v>
      </c>
      <c r="DT61">
        <f>IFERROR(VLOOKUP(DT$6,Hoja1!$F$2:$XFD$61,BL61+4,FALSE),0)</f>
        <v>0</v>
      </c>
      <c r="DU61" s="15" t="str">
        <f t="shared" si="0"/>
        <v/>
      </c>
      <c r="DV61" s="16" t="str">
        <f>IF(D61&lt;&gt;"",IF(DU61="","",IF(DU61&gt;=$DU$7*Hoja1!$E$2,4+3/($DU$7*(1-Hoja1!$E$2))*(DU61-$DU$7*Hoja1!$E$2),1+3/($DU$7*Hoja1!$E$2)*DU61)),DU61)</f>
        <v/>
      </c>
      <c r="DW61" s="47" t="b">
        <v>0</v>
      </c>
    </row>
    <row r="62" spans="1:127" ht="23.25" customHeight="1" x14ac:dyDescent="0.25">
      <c r="A62" s="17">
        <v>53</v>
      </c>
      <c r="B62" s="18"/>
      <c r="C62" s="18"/>
      <c r="D62" s="1"/>
      <c r="E62" s="28"/>
      <c r="F62" s="19"/>
      <c r="G62" s="19"/>
      <c r="H62" s="19"/>
      <c r="I62" s="19"/>
      <c r="J62" s="19"/>
      <c r="K62" s="19"/>
      <c r="L62" s="19"/>
      <c r="M62" s="19"/>
      <c r="N62" s="19"/>
      <c r="O62" s="19"/>
      <c r="P62" s="19"/>
      <c r="Q62" s="19"/>
      <c r="R62" s="19"/>
      <c r="S62" s="19"/>
      <c r="T62" s="19"/>
      <c r="U62" s="19"/>
      <c r="V62" s="19"/>
      <c r="W62" s="19"/>
      <c r="X62" s="19"/>
      <c r="Y62" s="19"/>
      <c r="Z62" s="19"/>
      <c r="AA62" s="19"/>
      <c r="AB62" s="19"/>
      <c r="AC62" s="19"/>
      <c r="AD62" s="19"/>
      <c r="AE62" s="19"/>
      <c r="AF62" s="19"/>
      <c r="AG62" s="19"/>
      <c r="AH62" s="19"/>
      <c r="AI62" s="19"/>
      <c r="AJ62" s="19"/>
      <c r="AK62" s="19"/>
      <c r="AL62" s="19"/>
      <c r="AM62" s="19"/>
      <c r="AN62" s="19"/>
      <c r="AO62" s="19"/>
      <c r="AP62" s="19"/>
      <c r="AQ62" s="19"/>
      <c r="AR62" s="19"/>
      <c r="AS62" s="19"/>
      <c r="AT62" s="19"/>
      <c r="AU62" s="19"/>
      <c r="AV62" s="19"/>
      <c r="AW62" s="19"/>
      <c r="AX62" s="19"/>
      <c r="AY62" s="19"/>
      <c r="AZ62" s="19"/>
      <c r="BA62" s="19"/>
      <c r="BB62" s="19"/>
      <c r="BC62" s="19"/>
      <c r="BD62" s="19"/>
      <c r="BE62" s="19"/>
      <c r="BF62" s="19"/>
      <c r="BG62" s="19"/>
      <c r="BH62" s="19"/>
      <c r="BI62" s="19"/>
      <c r="BJ62" s="19"/>
      <c r="BK62" s="19"/>
      <c r="BL62" s="29"/>
      <c r="BM62">
        <f>IFERROR(VLOOKUP(BM$6,Hoja1!$F$2:$XFD$61,E62+4,FALSE),0)</f>
        <v>0</v>
      </c>
      <c r="BN62">
        <f>IFERROR(VLOOKUP(BN$6,Hoja1!$F$2:$XFD$61,F62+4,FALSE),0)</f>
        <v>0</v>
      </c>
      <c r="BO62">
        <f>IFERROR(VLOOKUP(BO$6,Hoja1!$F$2:$XFD$61,G62+4,FALSE),0)</f>
        <v>0</v>
      </c>
      <c r="BP62">
        <f>IFERROR(VLOOKUP(BP$6,Hoja1!$F$2:$XFD$61,H62+4,FALSE),0)</f>
        <v>0</v>
      </c>
      <c r="BQ62">
        <f>IFERROR(VLOOKUP(BQ$6,Hoja1!$F$2:$XFD$61,I62+4,FALSE),0)</f>
        <v>0</v>
      </c>
      <c r="BR62">
        <f>IFERROR(VLOOKUP(BR$6,Hoja1!$F$2:$XFD$61,J62+4,FALSE),0)</f>
        <v>0</v>
      </c>
      <c r="BS62">
        <f>IFERROR(VLOOKUP(BS$6,Hoja1!$F$2:$XFD$61,K62+4,FALSE),0)</f>
        <v>0</v>
      </c>
      <c r="BT62">
        <f>IFERROR(VLOOKUP(BT$6,Hoja1!$F$2:$XFD$61,L62+4,FALSE),0)</f>
        <v>0</v>
      </c>
      <c r="BU62">
        <f>IFERROR(VLOOKUP(BU$6,Hoja1!$F$2:$XFD$61,M62+4,FALSE),0)</f>
        <v>0</v>
      </c>
      <c r="BV62">
        <f>IFERROR(VLOOKUP(BV$6,Hoja1!$F$2:$XFD$61,N62+4,FALSE),0)</f>
        <v>0</v>
      </c>
      <c r="BW62">
        <f>IFERROR(VLOOKUP(BW$6,Hoja1!$F$2:$XFD$61,O62+4,FALSE),0)</f>
        <v>0</v>
      </c>
      <c r="BX62">
        <f>IFERROR(VLOOKUP(BX$6,Hoja1!$F$2:$XFD$61,P62+4,FALSE),0)</f>
        <v>0</v>
      </c>
      <c r="BY62">
        <f>IFERROR(VLOOKUP(BY$6,Hoja1!$F$2:$XFD$61,Q62+4,FALSE),0)</f>
        <v>0</v>
      </c>
      <c r="BZ62">
        <f>IFERROR(VLOOKUP(BZ$6,Hoja1!$F$2:$XFD$61,R62+4,FALSE),0)</f>
        <v>0</v>
      </c>
      <c r="CA62">
        <f>IFERROR(VLOOKUP(CA$6,Hoja1!$F$2:$XFD$61,S62+4,FALSE),0)</f>
        <v>0</v>
      </c>
      <c r="CB62">
        <f>IFERROR(VLOOKUP(CB$6,Hoja1!$F$2:$XFD$61,T62+4,FALSE),0)</f>
        <v>0</v>
      </c>
      <c r="CC62">
        <f>IFERROR(VLOOKUP(CC$6,Hoja1!$F$2:$XFD$61,U62+4,FALSE),0)</f>
        <v>0</v>
      </c>
      <c r="CD62">
        <f>IFERROR(VLOOKUP(CD$6,Hoja1!$F$2:$XFD$61,V62+4,FALSE),0)</f>
        <v>0</v>
      </c>
      <c r="CE62">
        <f>IFERROR(VLOOKUP(CE$6,Hoja1!$F$2:$XFD$61,W62+4,FALSE),0)</f>
        <v>0</v>
      </c>
      <c r="CF62">
        <f>IFERROR(VLOOKUP(CF$6,Hoja1!$F$2:$XFD$61,X62+4,FALSE),0)</f>
        <v>0</v>
      </c>
      <c r="CG62">
        <f>IFERROR(VLOOKUP(CG$6,Hoja1!$F$2:$XFD$61,Y62+4,FALSE),0)</f>
        <v>0</v>
      </c>
      <c r="CH62">
        <f>IFERROR(VLOOKUP(CH$6,Hoja1!$F$2:$XFD$61,Z62+4,FALSE),0)</f>
        <v>0</v>
      </c>
      <c r="CI62">
        <f>IFERROR(VLOOKUP(CI$6,Hoja1!$F$2:$XFD$61,AA62+4,FALSE),0)</f>
        <v>0</v>
      </c>
      <c r="CJ62">
        <f>IFERROR(VLOOKUP(CJ$6,Hoja1!$F$2:$XFD$61,AB62+4,FALSE),0)</f>
        <v>0</v>
      </c>
      <c r="CK62">
        <f>IFERROR(VLOOKUP(CK$6,Hoja1!$F$2:$XFD$61,AC62+4,FALSE),0)</f>
        <v>0</v>
      </c>
      <c r="CL62">
        <f>IFERROR(VLOOKUP(CL$6,Hoja1!$F$2:$XFD$61,AD62+4,FALSE),0)</f>
        <v>0</v>
      </c>
      <c r="CM62">
        <f>IFERROR(VLOOKUP(CM$6,Hoja1!$F$2:$XFD$61,AE62+4,FALSE),0)</f>
        <v>0</v>
      </c>
      <c r="CN62">
        <f>IFERROR(VLOOKUP(CN$6,Hoja1!$F$2:$XFD$61,AF62+4,FALSE),0)</f>
        <v>0</v>
      </c>
      <c r="CO62">
        <f>IFERROR(VLOOKUP(CO$6,Hoja1!$F$2:$XFD$61,AG62+4,FALSE),0)</f>
        <v>0</v>
      </c>
      <c r="CP62">
        <f>IFERROR(VLOOKUP(CP$6,Hoja1!$F$2:$XFD$61,AH62+4,FALSE),0)</f>
        <v>0</v>
      </c>
      <c r="CQ62">
        <f>IFERROR(VLOOKUP(CQ$6,Hoja1!$F$2:$XFD$61,AI62+4,FALSE),0)</f>
        <v>0</v>
      </c>
      <c r="CR62">
        <f>IFERROR(VLOOKUP(CR$6,Hoja1!$F$2:$XFD$61,AJ62+4,FALSE),0)</f>
        <v>0</v>
      </c>
      <c r="CS62">
        <f>IFERROR(VLOOKUP(CS$6,Hoja1!$F$2:$XFD$61,AK62+4,FALSE),0)</f>
        <v>0</v>
      </c>
      <c r="CT62">
        <f>IFERROR(VLOOKUP(CT$6,Hoja1!$F$2:$XFD$61,AL62+4,FALSE),0)</f>
        <v>0</v>
      </c>
      <c r="CU62">
        <f>IFERROR(VLOOKUP(CU$6,Hoja1!$F$2:$XFD$61,AM62+4,FALSE),0)</f>
        <v>0</v>
      </c>
      <c r="CV62">
        <f>IFERROR(VLOOKUP(CV$6,Hoja1!$F$2:$XFD$61,AN62+4,FALSE),0)</f>
        <v>0</v>
      </c>
      <c r="CW62">
        <f>IFERROR(VLOOKUP(CW$6,Hoja1!$F$2:$XFD$61,AO62+4,FALSE),0)</f>
        <v>0</v>
      </c>
      <c r="CX62">
        <f>IFERROR(VLOOKUP(CX$6,Hoja1!$F$2:$XFD$61,AP62+4,FALSE),0)</f>
        <v>0</v>
      </c>
      <c r="CY62">
        <f>IFERROR(VLOOKUP(CY$6,Hoja1!$F$2:$XFD$61,AQ62+4,FALSE),0)</f>
        <v>0</v>
      </c>
      <c r="CZ62">
        <f>IFERROR(VLOOKUP(CZ$6,Hoja1!$F$2:$XFD$61,AR62+4,FALSE),0)</f>
        <v>0</v>
      </c>
      <c r="DA62">
        <f>IFERROR(VLOOKUP(DA$6,Hoja1!$F$2:$XFD$61,AS62+4,FALSE),0)</f>
        <v>0</v>
      </c>
      <c r="DB62">
        <f>IFERROR(VLOOKUP(DB$6,Hoja1!$F$2:$XFD$61,AT62+4,FALSE),0)</f>
        <v>0</v>
      </c>
      <c r="DC62">
        <f>IFERROR(VLOOKUP(DC$6,Hoja1!$F$2:$XFD$61,AU62+4,FALSE),0)</f>
        <v>0</v>
      </c>
      <c r="DD62">
        <f>IFERROR(VLOOKUP(DD$6,Hoja1!$F$2:$XFD$61,AV62+4,FALSE),0)</f>
        <v>0</v>
      </c>
      <c r="DE62">
        <f>IFERROR(VLOOKUP(DE$6,Hoja1!$F$2:$XFD$61,AW62+4,FALSE),0)</f>
        <v>0</v>
      </c>
      <c r="DF62">
        <f>IFERROR(VLOOKUP(DF$6,Hoja1!$F$2:$XFD$61,AX62+4,FALSE),0)</f>
        <v>0</v>
      </c>
      <c r="DG62">
        <f>IFERROR(VLOOKUP(DG$6,Hoja1!$F$2:$XFD$61,AY62+4,FALSE),0)</f>
        <v>0</v>
      </c>
      <c r="DH62">
        <f>IFERROR(VLOOKUP(DH$6,Hoja1!$F$2:$XFD$61,AZ62+4,FALSE),0)</f>
        <v>0</v>
      </c>
      <c r="DI62">
        <f>IFERROR(VLOOKUP(DI$6,Hoja1!$F$2:$XFD$61,BA62+4,FALSE),0)</f>
        <v>0</v>
      </c>
      <c r="DJ62">
        <f>IFERROR(VLOOKUP(DJ$6,Hoja1!$F$2:$XFD$61,BB62+4,FALSE),0)</f>
        <v>0</v>
      </c>
      <c r="DK62">
        <f>IFERROR(VLOOKUP(DK$6,Hoja1!$F$2:$XFD$61,BC62+4,FALSE),0)</f>
        <v>0</v>
      </c>
      <c r="DL62">
        <f>IFERROR(VLOOKUP(DL$6,Hoja1!$F$2:$XFD$61,BD62+4,FALSE),0)</f>
        <v>0</v>
      </c>
      <c r="DM62">
        <f>IFERROR(VLOOKUP(DM$6,Hoja1!$F$2:$XFD$61,BE62+4,FALSE),0)</f>
        <v>0</v>
      </c>
      <c r="DN62">
        <f>IFERROR(VLOOKUP(DN$6,Hoja1!$F$2:$XFD$61,BF62+4,FALSE),0)</f>
        <v>0</v>
      </c>
      <c r="DO62">
        <f>IFERROR(VLOOKUP(DO$6,Hoja1!$F$2:$XFD$61,BG62+4,FALSE),0)</f>
        <v>0</v>
      </c>
      <c r="DP62">
        <f>IFERROR(VLOOKUP(DP$6,Hoja1!$F$2:$XFD$61,BH62+4,FALSE),0)</f>
        <v>0</v>
      </c>
      <c r="DQ62">
        <f>IFERROR(VLOOKUP(DQ$6,Hoja1!$F$2:$XFD$61,BI62+4,FALSE),0)</f>
        <v>0</v>
      </c>
      <c r="DR62">
        <f>IFERROR(VLOOKUP(DR$6,Hoja1!$F$2:$XFD$61,BJ62+4,FALSE),0)</f>
        <v>0</v>
      </c>
      <c r="DS62">
        <f>IFERROR(VLOOKUP(DS$6,Hoja1!$F$2:$XFD$61,BK62+4,FALSE),0)</f>
        <v>0</v>
      </c>
      <c r="DT62">
        <f>IFERROR(VLOOKUP(DT$6,Hoja1!$F$2:$XFD$61,BL62+4,FALSE),0)</f>
        <v>0</v>
      </c>
      <c r="DU62" s="15" t="str">
        <f t="shared" si="0"/>
        <v/>
      </c>
      <c r="DV62" s="16" t="str">
        <f>IF(D62&lt;&gt;"",IF(DU62="","",IF(DU62&gt;=$DU$7*Hoja1!$E$2,4+3/($DU$7*(1-Hoja1!$E$2))*(DU62-$DU$7*Hoja1!$E$2),1+3/($DU$7*Hoja1!$E$2)*DU62)),DU62)</f>
        <v/>
      </c>
      <c r="DW62" s="47" t="b">
        <v>0</v>
      </c>
    </row>
    <row r="63" spans="1:127" ht="23.25" customHeight="1" x14ac:dyDescent="0.25">
      <c r="A63" s="17">
        <v>54</v>
      </c>
      <c r="B63" s="18"/>
      <c r="C63" s="18"/>
      <c r="D63" s="1"/>
      <c r="E63" s="28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  <c r="Q63" s="19"/>
      <c r="R63" s="19"/>
      <c r="S63" s="19"/>
      <c r="T63" s="19"/>
      <c r="U63" s="19"/>
      <c r="V63" s="19"/>
      <c r="W63" s="19"/>
      <c r="X63" s="19"/>
      <c r="Y63" s="19"/>
      <c r="Z63" s="19"/>
      <c r="AA63" s="19"/>
      <c r="AB63" s="19"/>
      <c r="AC63" s="19"/>
      <c r="AD63" s="19"/>
      <c r="AE63" s="19"/>
      <c r="AF63" s="19"/>
      <c r="AG63" s="19"/>
      <c r="AH63" s="19"/>
      <c r="AI63" s="19"/>
      <c r="AJ63" s="19"/>
      <c r="AK63" s="19"/>
      <c r="AL63" s="19"/>
      <c r="AM63" s="19"/>
      <c r="AN63" s="19"/>
      <c r="AO63" s="19"/>
      <c r="AP63" s="19"/>
      <c r="AQ63" s="19"/>
      <c r="AR63" s="19"/>
      <c r="AS63" s="19"/>
      <c r="AT63" s="19"/>
      <c r="AU63" s="19"/>
      <c r="AV63" s="19"/>
      <c r="AW63" s="19"/>
      <c r="AX63" s="19"/>
      <c r="AY63" s="19"/>
      <c r="AZ63" s="19"/>
      <c r="BA63" s="19"/>
      <c r="BB63" s="19"/>
      <c r="BC63" s="19"/>
      <c r="BD63" s="19"/>
      <c r="BE63" s="19"/>
      <c r="BF63" s="19"/>
      <c r="BG63" s="19"/>
      <c r="BH63" s="19"/>
      <c r="BI63" s="19"/>
      <c r="BJ63" s="19"/>
      <c r="BK63" s="19"/>
      <c r="BL63" s="29"/>
      <c r="BM63">
        <f>IFERROR(VLOOKUP(BM$6,Hoja1!$F$2:$XFD$61,E63+4,FALSE),0)</f>
        <v>0</v>
      </c>
      <c r="BN63">
        <f>IFERROR(VLOOKUP(BN$6,Hoja1!$F$2:$XFD$61,F63+4,FALSE),0)</f>
        <v>0</v>
      </c>
      <c r="BO63">
        <f>IFERROR(VLOOKUP(BO$6,Hoja1!$F$2:$XFD$61,G63+4,FALSE),0)</f>
        <v>0</v>
      </c>
      <c r="BP63">
        <f>IFERROR(VLOOKUP(BP$6,Hoja1!$F$2:$XFD$61,H63+4,FALSE),0)</f>
        <v>0</v>
      </c>
      <c r="BQ63">
        <f>IFERROR(VLOOKUP(BQ$6,Hoja1!$F$2:$XFD$61,I63+4,FALSE),0)</f>
        <v>0</v>
      </c>
      <c r="BR63">
        <f>IFERROR(VLOOKUP(BR$6,Hoja1!$F$2:$XFD$61,J63+4,FALSE),0)</f>
        <v>0</v>
      </c>
      <c r="BS63">
        <f>IFERROR(VLOOKUP(BS$6,Hoja1!$F$2:$XFD$61,K63+4,FALSE),0)</f>
        <v>0</v>
      </c>
      <c r="BT63">
        <f>IFERROR(VLOOKUP(BT$6,Hoja1!$F$2:$XFD$61,L63+4,FALSE),0)</f>
        <v>0</v>
      </c>
      <c r="BU63">
        <f>IFERROR(VLOOKUP(BU$6,Hoja1!$F$2:$XFD$61,M63+4,FALSE),0)</f>
        <v>0</v>
      </c>
      <c r="BV63">
        <f>IFERROR(VLOOKUP(BV$6,Hoja1!$F$2:$XFD$61,N63+4,FALSE),0)</f>
        <v>0</v>
      </c>
      <c r="BW63">
        <f>IFERROR(VLOOKUP(BW$6,Hoja1!$F$2:$XFD$61,O63+4,FALSE),0)</f>
        <v>0</v>
      </c>
      <c r="BX63">
        <f>IFERROR(VLOOKUP(BX$6,Hoja1!$F$2:$XFD$61,P63+4,FALSE),0)</f>
        <v>0</v>
      </c>
      <c r="BY63">
        <f>IFERROR(VLOOKUP(BY$6,Hoja1!$F$2:$XFD$61,Q63+4,FALSE),0)</f>
        <v>0</v>
      </c>
      <c r="BZ63">
        <f>IFERROR(VLOOKUP(BZ$6,Hoja1!$F$2:$XFD$61,R63+4,FALSE),0)</f>
        <v>0</v>
      </c>
      <c r="CA63">
        <f>IFERROR(VLOOKUP(CA$6,Hoja1!$F$2:$XFD$61,S63+4,FALSE),0)</f>
        <v>0</v>
      </c>
      <c r="CB63">
        <f>IFERROR(VLOOKUP(CB$6,Hoja1!$F$2:$XFD$61,T63+4,FALSE),0)</f>
        <v>0</v>
      </c>
      <c r="CC63">
        <f>IFERROR(VLOOKUP(CC$6,Hoja1!$F$2:$XFD$61,U63+4,FALSE),0)</f>
        <v>0</v>
      </c>
      <c r="CD63">
        <f>IFERROR(VLOOKUP(CD$6,Hoja1!$F$2:$XFD$61,V63+4,FALSE),0)</f>
        <v>0</v>
      </c>
      <c r="CE63">
        <f>IFERROR(VLOOKUP(CE$6,Hoja1!$F$2:$XFD$61,W63+4,FALSE),0)</f>
        <v>0</v>
      </c>
      <c r="CF63">
        <f>IFERROR(VLOOKUP(CF$6,Hoja1!$F$2:$XFD$61,X63+4,FALSE),0)</f>
        <v>0</v>
      </c>
      <c r="CG63">
        <f>IFERROR(VLOOKUP(CG$6,Hoja1!$F$2:$XFD$61,Y63+4,FALSE),0)</f>
        <v>0</v>
      </c>
      <c r="CH63">
        <f>IFERROR(VLOOKUP(CH$6,Hoja1!$F$2:$XFD$61,Z63+4,FALSE),0)</f>
        <v>0</v>
      </c>
      <c r="CI63">
        <f>IFERROR(VLOOKUP(CI$6,Hoja1!$F$2:$XFD$61,AA63+4,FALSE),0)</f>
        <v>0</v>
      </c>
      <c r="CJ63">
        <f>IFERROR(VLOOKUP(CJ$6,Hoja1!$F$2:$XFD$61,AB63+4,FALSE),0)</f>
        <v>0</v>
      </c>
      <c r="CK63">
        <f>IFERROR(VLOOKUP(CK$6,Hoja1!$F$2:$XFD$61,AC63+4,FALSE),0)</f>
        <v>0</v>
      </c>
      <c r="CL63">
        <f>IFERROR(VLOOKUP(CL$6,Hoja1!$F$2:$XFD$61,AD63+4,FALSE),0)</f>
        <v>0</v>
      </c>
      <c r="CM63">
        <f>IFERROR(VLOOKUP(CM$6,Hoja1!$F$2:$XFD$61,AE63+4,FALSE),0)</f>
        <v>0</v>
      </c>
      <c r="CN63">
        <f>IFERROR(VLOOKUP(CN$6,Hoja1!$F$2:$XFD$61,AF63+4,FALSE),0)</f>
        <v>0</v>
      </c>
      <c r="CO63">
        <f>IFERROR(VLOOKUP(CO$6,Hoja1!$F$2:$XFD$61,AG63+4,FALSE),0)</f>
        <v>0</v>
      </c>
      <c r="CP63">
        <f>IFERROR(VLOOKUP(CP$6,Hoja1!$F$2:$XFD$61,AH63+4,FALSE),0)</f>
        <v>0</v>
      </c>
      <c r="CQ63">
        <f>IFERROR(VLOOKUP(CQ$6,Hoja1!$F$2:$XFD$61,AI63+4,FALSE),0)</f>
        <v>0</v>
      </c>
      <c r="CR63">
        <f>IFERROR(VLOOKUP(CR$6,Hoja1!$F$2:$XFD$61,AJ63+4,FALSE),0)</f>
        <v>0</v>
      </c>
      <c r="CS63">
        <f>IFERROR(VLOOKUP(CS$6,Hoja1!$F$2:$XFD$61,AK63+4,FALSE),0)</f>
        <v>0</v>
      </c>
      <c r="CT63">
        <f>IFERROR(VLOOKUP(CT$6,Hoja1!$F$2:$XFD$61,AL63+4,FALSE),0)</f>
        <v>0</v>
      </c>
      <c r="CU63">
        <f>IFERROR(VLOOKUP(CU$6,Hoja1!$F$2:$XFD$61,AM63+4,FALSE),0)</f>
        <v>0</v>
      </c>
      <c r="CV63">
        <f>IFERROR(VLOOKUP(CV$6,Hoja1!$F$2:$XFD$61,AN63+4,FALSE),0)</f>
        <v>0</v>
      </c>
      <c r="CW63">
        <f>IFERROR(VLOOKUP(CW$6,Hoja1!$F$2:$XFD$61,AO63+4,FALSE),0)</f>
        <v>0</v>
      </c>
      <c r="CX63">
        <f>IFERROR(VLOOKUP(CX$6,Hoja1!$F$2:$XFD$61,AP63+4,FALSE),0)</f>
        <v>0</v>
      </c>
      <c r="CY63">
        <f>IFERROR(VLOOKUP(CY$6,Hoja1!$F$2:$XFD$61,AQ63+4,FALSE),0)</f>
        <v>0</v>
      </c>
      <c r="CZ63">
        <f>IFERROR(VLOOKUP(CZ$6,Hoja1!$F$2:$XFD$61,AR63+4,FALSE),0)</f>
        <v>0</v>
      </c>
      <c r="DA63">
        <f>IFERROR(VLOOKUP(DA$6,Hoja1!$F$2:$XFD$61,AS63+4,FALSE),0)</f>
        <v>0</v>
      </c>
      <c r="DB63">
        <f>IFERROR(VLOOKUP(DB$6,Hoja1!$F$2:$XFD$61,AT63+4,FALSE),0)</f>
        <v>0</v>
      </c>
      <c r="DC63">
        <f>IFERROR(VLOOKUP(DC$6,Hoja1!$F$2:$XFD$61,AU63+4,FALSE),0)</f>
        <v>0</v>
      </c>
      <c r="DD63">
        <f>IFERROR(VLOOKUP(DD$6,Hoja1!$F$2:$XFD$61,AV63+4,FALSE),0)</f>
        <v>0</v>
      </c>
      <c r="DE63">
        <f>IFERROR(VLOOKUP(DE$6,Hoja1!$F$2:$XFD$61,AW63+4,FALSE),0)</f>
        <v>0</v>
      </c>
      <c r="DF63">
        <f>IFERROR(VLOOKUP(DF$6,Hoja1!$F$2:$XFD$61,AX63+4,FALSE),0)</f>
        <v>0</v>
      </c>
      <c r="DG63">
        <f>IFERROR(VLOOKUP(DG$6,Hoja1!$F$2:$XFD$61,AY63+4,FALSE),0)</f>
        <v>0</v>
      </c>
      <c r="DH63">
        <f>IFERROR(VLOOKUP(DH$6,Hoja1!$F$2:$XFD$61,AZ63+4,FALSE),0)</f>
        <v>0</v>
      </c>
      <c r="DI63">
        <f>IFERROR(VLOOKUP(DI$6,Hoja1!$F$2:$XFD$61,BA63+4,FALSE),0)</f>
        <v>0</v>
      </c>
      <c r="DJ63">
        <f>IFERROR(VLOOKUP(DJ$6,Hoja1!$F$2:$XFD$61,BB63+4,FALSE),0)</f>
        <v>0</v>
      </c>
      <c r="DK63">
        <f>IFERROR(VLOOKUP(DK$6,Hoja1!$F$2:$XFD$61,BC63+4,FALSE),0)</f>
        <v>0</v>
      </c>
      <c r="DL63">
        <f>IFERROR(VLOOKUP(DL$6,Hoja1!$F$2:$XFD$61,BD63+4,FALSE),0)</f>
        <v>0</v>
      </c>
      <c r="DM63">
        <f>IFERROR(VLOOKUP(DM$6,Hoja1!$F$2:$XFD$61,BE63+4,FALSE),0)</f>
        <v>0</v>
      </c>
      <c r="DN63">
        <f>IFERROR(VLOOKUP(DN$6,Hoja1!$F$2:$XFD$61,BF63+4,FALSE),0)</f>
        <v>0</v>
      </c>
      <c r="DO63">
        <f>IFERROR(VLOOKUP(DO$6,Hoja1!$F$2:$XFD$61,BG63+4,FALSE),0)</f>
        <v>0</v>
      </c>
      <c r="DP63">
        <f>IFERROR(VLOOKUP(DP$6,Hoja1!$F$2:$XFD$61,BH63+4,FALSE),0)</f>
        <v>0</v>
      </c>
      <c r="DQ63">
        <f>IFERROR(VLOOKUP(DQ$6,Hoja1!$F$2:$XFD$61,BI63+4,FALSE),0)</f>
        <v>0</v>
      </c>
      <c r="DR63">
        <f>IFERROR(VLOOKUP(DR$6,Hoja1!$F$2:$XFD$61,BJ63+4,FALSE),0)</f>
        <v>0</v>
      </c>
      <c r="DS63">
        <f>IFERROR(VLOOKUP(DS$6,Hoja1!$F$2:$XFD$61,BK63+4,FALSE),0)</f>
        <v>0</v>
      </c>
      <c r="DT63">
        <f>IFERROR(VLOOKUP(DT$6,Hoja1!$F$2:$XFD$61,BL63+4,FALSE),0)</f>
        <v>0</v>
      </c>
      <c r="DU63" s="15" t="str">
        <f t="shared" si="0"/>
        <v/>
      </c>
      <c r="DV63" s="16" t="str">
        <f>IF(D63&lt;&gt;"",IF(DU63="","",IF(DU63&gt;=$DU$7*Hoja1!$E$2,4+3/($DU$7*(1-Hoja1!$E$2))*(DU63-$DU$7*Hoja1!$E$2),1+3/($DU$7*Hoja1!$E$2)*DU63)),DU63)</f>
        <v/>
      </c>
      <c r="DW63" s="47" t="b">
        <v>0</v>
      </c>
    </row>
    <row r="64" spans="1:127" ht="23.25" customHeight="1" x14ac:dyDescent="0.25">
      <c r="A64" s="17">
        <v>55</v>
      </c>
      <c r="B64" s="18"/>
      <c r="C64" s="18"/>
      <c r="D64" s="1"/>
      <c r="E64" s="28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  <c r="Q64" s="19"/>
      <c r="R64" s="19"/>
      <c r="S64" s="19"/>
      <c r="T64" s="19"/>
      <c r="U64" s="19"/>
      <c r="V64" s="19"/>
      <c r="W64" s="19"/>
      <c r="X64" s="19"/>
      <c r="Y64" s="19"/>
      <c r="Z64" s="19"/>
      <c r="AA64" s="19"/>
      <c r="AB64" s="19"/>
      <c r="AC64" s="19"/>
      <c r="AD64" s="19"/>
      <c r="AE64" s="19"/>
      <c r="AF64" s="19"/>
      <c r="AG64" s="19"/>
      <c r="AH64" s="19"/>
      <c r="AI64" s="19"/>
      <c r="AJ64" s="19"/>
      <c r="AK64" s="19"/>
      <c r="AL64" s="19"/>
      <c r="AM64" s="19"/>
      <c r="AN64" s="19"/>
      <c r="AO64" s="19"/>
      <c r="AP64" s="19"/>
      <c r="AQ64" s="19"/>
      <c r="AR64" s="19"/>
      <c r="AS64" s="19"/>
      <c r="AT64" s="19"/>
      <c r="AU64" s="19"/>
      <c r="AV64" s="19"/>
      <c r="AW64" s="19"/>
      <c r="AX64" s="19"/>
      <c r="AY64" s="19"/>
      <c r="AZ64" s="19"/>
      <c r="BA64" s="19"/>
      <c r="BB64" s="19"/>
      <c r="BC64" s="19"/>
      <c r="BD64" s="19"/>
      <c r="BE64" s="19"/>
      <c r="BF64" s="19"/>
      <c r="BG64" s="19"/>
      <c r="BH64" s="19"/>
      <c r="BI64" s="19"/>
      <c r="BJ64" s="19"/>
      <c r="BK64" s="19"/>
      <c r="BL64" s="29"/>
      <c r="BM64">
        <f>IFERROR(VLOOKUP(BM$6,Hoja1!$F$2:$XFD$61,E64+4,FALSE),0)</f>
        <v>0</v>
      </c>
      <c r="BN64">
        <f>IFERROR(VLOOKUP(BN$6,Hoja1!$F$2:$XFD$61,F64+4,FALSE),0)</f>
        <v>0</v>
      </c>
      <c r="BO64">
        <f>IFERROR(VLOOKUP(BO$6,Hoja1!$F$2:$XFD$61,G64+4,FALSE),0)</f>
        <v>0</v>
      </c>
      <c r="BP64">
        <f>IFERROR(VLOOKUP(BP$6,Hoja1!$F$2:$XFD$61,H64+4,FALSE),0)</f>
        <v>0</v>
      </c>
      <c r="BQ64">
        <f>IFERROR(VLOOKUP(BQ$6,Hoja1!$F$2:$XFD$61,I64+4,FALSE),0)</f>
        <v>0</v>
      </c>
      <c r="BR64">
        <f>IFERROR(VLOOKUP(BR$6,Hoja1!$F$2:$XFD$61,J64+4,FALSE),0)</f>
        <v>0</v>
      </c>
      <c r="BS64">
        <f>IFERROR(VLOOKUP(BS$6,Hoja1!$F$2:$XFD$61,K64+4,FALSE),0)</f>
        <v>0</v>
      </c>
      <c r="BT64">
        <f>IFERROR(VLOOKUP(BT$6,Hoja1!$F$2:$XFD$61,L64+4,FALSE),0)</f>
        <v>0</v>
      </c>
      <c r="BU64">
        <f>IFERROR(VLOOKUP(BU$6,Hoja1!$F$2:$XFD$61,M64+4,FALSE),0)</f>
        <v>0</v>
      </c>
      <c r="BV64">
        <f>IFERROR(VLOOKUP(BV$6,Hoja1!$F$2:$XFD$61,N64+4,FALSE),0)</f>
        <v>0</v>
      </c>
      <c r="BW64">
        <f>IFERROR(VLOOKUP(BW$6,Hoja1!$F$2:$XFD$61,O64+4,FALSE),0)</f>
        <v>0</v>
      </c>
      <c r="BX64">
        <f>IFERROR(VLOOKUP(BX$6,Hoja1!$F$2:$XFD$61,P64+4,FALSE),0)</f>
        <v>0</v>
      </c>
      <c r="BY64">
        <f>IFERROR(VLOOKUP(BY$6,Hoja1!$F$2:$XFD$61,Q64+4,FALSE),0)</f>
        <v>0</v>
      </c>
      <c r="BZ64">
        <f>IFERROR(VLOOKUP(BZ$6,Hoja1!$F$2:$XFD$61,R64+4,FALSE),0)</f>
        <v>0</v>
      </c>
      <c r="CA64">
        <f>IFERROR(VLOOKUP(CA$6,Hoja1!$F$2:$XFD$61,S64+4,FALSE),0)</f>
        <v>0</v>
      </c>
      <c r="CB64">
        <f>IFERROR(VLOOKUP(CB$6,Hoja1!$F$2:$XFD$61,T64+4,FALSE),0)</f>
        <v>0</v>
      </c>
      <c r="CC64">
        <f>IFERROR(VLOOKUP(CC$6,Hoja1!$F$2:$XFD$61,U64+4,FALSE),0)</f>
        <v>0</v>
      </c>
      <c r="CD64">
        <f>IFERROR(VLOOKUP(CD$6,Hoja1!$F$2:$XFD$61,V64+4,FALSE),0)</f>
        <v>0</v>
      </c>
      <c r="CE64">
        <f>IFERROR(VLOOKUP(CE$6,Hoja1!$F$2:$XFD$61,W64+4,FALSE),0)</f>
        <v>0</v>
      </c>
      <c r="CF64">
        <f>IFERROR(VLOOKUP(CF$6,Hoja1!$F$2:$XFD$61,X64+4,FALSE),0)</f>
        <v>0</v>
      </c>
      <c r="CG64">
        <f>IFERROR(VLOOKUP(CG$6,Hoja1!$F$2:$XFD$61,Y64+4,FALSE),0)</f>
        <v>0</v>
      </c>
      <c r="CH64">
        <f>IFERROR(VLOOKUP(CH$6,Hoja1!$F$2:$XFD$61,Z64+4,FALSE),0)</f>
        <v>0</v>
      </c>
      <c r="CI64">
        <f>IFERROR(VLOOKUP(CI$6,Hoja1!$F$2:$XFD$61,AA64+4,FALSE),0)</f>
        <v>0</v>
      </c>
      <c r="CJ64">
        <f>IFERROR(VLOOKUP(CJ$6,Hoja1!$F$2:$XFD$61,AB64+4,FALSE),0)</f>
        <v>0</v>
      </c>
      <c r="CK64">
        <f>IFERROR(VLOOKUP(CK$6,Hoja1!$F$2:$XFD$61,AC64+4,FALSE),0)</f>
        <v>0</v>
      </c>
      <c r="CL64">
        <f>IFERROR(VLOOKUP(CL$6,Hoja1!$F$2:$XFD$61,AD64+4,FALSE),0)</f>
        <v>0</v>
      </c>
      <c r="CM64">
        <f>IFERROR(VLOOKUP(CM$6,Hoja1!$F$2:$XFD$61,AE64+4,FALSE),0)</f>
        <v>0</v>
      </c>
      <c r="CN64">
        <f>IFERROR(VLOOKUP(CN$6,Hoja1!$F$2:$XFD$61,AF64+4,FALSE),0)</f>
        <v>0</v>
      </c>
      <c r="CO64">
        <f>IFERROR(VLOOKUP(CO$6,Hoja1!$F$2:$XFD$61,AG64+4,FALSE),0)</f>
        <v>0</v>
      </c>
      <c r="CP64">
        <f>IFERROR(VLOOKUP(CP$6,Hoja1!$F$2:$XFD$61,AH64+4,FALSE),0)</f>
        <v>0</v>
      </c>
      <c r="CQ64">
        <f>IFERROR(VLOOKUP(CQ$6,Hoja1!$F$2:$XFD$61,AI64+4,FALSE),0)</f>
        <v>0</v>
      </c>
      <c r="CR64">
        <f>IFERROR(VLOOKUP(CR$6,Hoja1!$F$2:$XFD$61,AJ64+4,FALSE),0)</f>
        <v>0</v>
      </c>
      <c r="CS64">
        <f>IFERROR(VLOOKUP(CS$6,Hoja1!$F$2:$XFD$61,AK64+4,FALSE),0)</f>
        <v>0</v>
      </c>
      <c r="CT64">
        <f>IFERROR(VLOOKUP(CT$6,Hoja1!$F$2:$XFD$61,AL64+4,FALSE),0)</f>
        <v>0</v>
      </c>
      <c r="CU64">
        <f>IFERROR(VLOOKUP(CU$6,Hoja1!$F$2:$XFD$61,AM64+4,FALSE),0)</f>
        <v>0</v>
      </c>
      <c r="CV64">
        <f>IFERROR(VLOOKUP(CV$6,Hoja1!$F$2:$XFD$61,AN64+4,FALSE),0)</f>
        <v>0</v>
      </c>
      <c r="CW64">
        <f>IFERROR(VLOOKUP(CW$6,Hoja1!$F$2:$XFD$61,AO64+4,FALSE),0)</f>
        <v>0</v>
      </c>
      <c r="CX64">
        <f>IFERROR(VLOOKUP(CX$6,Hoja1!$F$2:$XFD$61,AP64+4,FALSE),0)</f>
        <v>0</v>
      </c>
      <c r="CY64">
        <f>IFERROR(VLOOKUP(CY$6,Hoja1!$F$2:$XFD$61,AQ64+4,FALSE),0)</f>
        <v>0</v>
      </c>
      <c r="CZ64">
        <f>IFERROR(VLOOKUP(CZ$6,Hoja1!$F$2:$XFD$61,AR64+4,FALSE),0)</f>
        <v>0</v>
      </c>
      <c r="DA64">
        <f>IFERROR(VLOOKUP(DA$6,Hoja1!$F$2:$XFD$61,AS64+4,FALSE),0)</f>
        <v>0</v>
      </c>
      <c r="DB64">
        <f>IFERROR(VLOOKUP(DB$6,Hoja1!$F$2:$XFD$61,AT64+4,FALSE),0)</f>
        <v>0</v>
      </c>
      <c r="DC64">
        <f>IFERROR(VLOOKUP(DC$6,Hoja1!$F$2:$XFD$61,AU64+4,FALSE),0)</f>
        <v>0</v>
      </c>
      <c r="DD64">
        <f>IFERROR(VLOOKUP(DD$6,Hoja1!$F$2:$XFD$61,AV64+4,FALSE),0)</f>
        <v>0</v>
      </c>
      <c r="DE64">
        <f>IFERROR(VLOOKUP(DE$6,Hoja1!$F$2:$XFD$61,AW64+4,FALSE),0)</f>
        <v>0</v>
      </c>
      <c r="DF64">
        <f>IFERROR(VLOOKUP(DF$6,Hoja1!$F$2:$XFD$61,AX64+4,FALSE),0)</f>
        <v>0</v>
      </c>
      <c r="DG64">
        <f>IFERROR(VLOOKUP(DG$6,Hoja1!$F$2:$XFD$61,AY64+4,FALSE),0)</f>
        <v>0</v>
      </c>
      <c r="DH64">
        <f>IFERROR(VLOOKUP(DH$6,Hoja1!$F$2:$XFD$61,AZ64+4,FALSE),0)</f>
        <v>0</v>
      </c>
      <c r="DI64">
        <f>IFERROR(VLOOKUP(DI$6,Hoja1!$F$2:$XFD$61,BA64+4,FALSE),0)</f>
        <v>0</v>
      </c>
      <c r="DJ64">
        <f>IFERROR(VLOOKUP(DJ$6,Hoja1!$F$2:$XFD$61,BB64+4,FALSE),0)</f>
        <v>0</v>
      </c>
      <c r="DK64">
        <f>IFERROR(VLOOKUP(DK$6,Hoja1!$F$2:$XFD$61,BC64+4,FALSE),0)</f>
        <v>0</v>
      </c>
      <c r="DL64">
        <f>IFERROR(VLOOKUP(DL$6,Hoja1!$F$2:$XFD$61,BD64+4,FALSE),0)</f>
        <v>0</v>
      </c>
      <c r="DM64">
        <f>IFERROR(VLOOKUP(DM$6,Hoja1!$F$2:$XFD$61,BE64+4,FALSE),0)</f>
        <v>0</v>
      </c>
      <c r="DN64">
        <f>IFERROR(VLOOKUP(DN$6,Hoja1!$F$2:$XFD$61,BF64+4,FALSE),0)</f>
        <v>0</v>
      </c>
      <c r="DO64">
        <f>IFERROR(VLOOKUP(DO$6,Hoja1!$F$2:$XFD$61,BG64+4,FALSE),0)</f>
        <v>0</v>
      </c>
      <c r="DP64">
        <f>IFERROR(VLOOKUP(DP$6,Hoja1!$F$2:$XFD$61,BH64+4,FALSE),0)</f>
        <v>0</v>
      </c>
      <c r="DQ64">
        <f>IFERROR(VLOOKUP(DQ$6,Hoja1!$F$2:$XFD$61,BI64+4,FALSE),0)</f>
        <v>0</v>
      </c>
      <c r="DR64">
        <f>IFERROR(VLOOKUP(DR$6,Hoja1!$F$2:$XFD$61,BJ64+4,FALSE),0)</f>
        <v>0</v>
      </c>
      <c r="DS64">
        <f>IFERROR(VLOOKUP(DS$6,Hoja1!$F$2:$XFD$61,BK64+4,FALSE),0)</f>
        <v>0</v>
      </c>
      <c r="DT64">
        <f>IFERROR(VLOOKUP(DT$6,Hoja1!$F$2:$XFD$61,BL64+4,FALSE),0)</f>
        <v>0</v>
      </c>
      <c r="DU64" s="15" t="str">
        <f t="shared" si="0"/>
        <v/>
      </c>
      <c r="DV64" s="16" t="str">
        <f>IF(D64&lt;&gt;"",IF(DU64="","",IF(DU64&gt;=$DU$7*Hoja1!$E$2,4+3/($DU$7*(1-Hoja1!$E$2))*(DU64-$DU$7*Hoja1!$E$2),1+3/($DU$7*Hoja1!$E$2)*DU64)),DU64)</f>
        <v/>
      </c>
      <c r="DW64" s="47" t="b">
        <v>0</v>
      </c>
    </row>
    <row r="65" spans="1:127" ht="23.25" customHeight="1" x14ac:dyDescent="0.25">
      <c r="A65" s="17">
        <v>56</v>
      </c>
      <c r="B65" s="18"/>
      <c r="C65" s="18"/>
      <c r="D65" s="1"/>
      <c r="E65" s="28"/>
      <c r="F65" s="19"/>
      <c r="G65" s="19"/>
      <c r="H65" s="19"/>
      <c r="I65" s="19"/>
      <c r="J65" s="19"/>
      <c r="K65" s="19"/>
      <c r="L65" s="19"/>
      <c r="M65" s="19"/>
      <c r="N65" s="19"/>
      <c r="O65" s="19"/>
      <c r="P65" s="19"/>
      <c r="Q65" s="19"/>
      <c r="R65" s="19"/>
      <c r="S65" s="19"/>
      <c r="T65" s="19"/>
      <c r="U65" s="19"/>
      <c r="V65" s="19"/>
      <c r="W65" s="19"/>
      <c r="X65" s="19"/>
      <c r="Y65" s="19"/>
      <c r="Z65" s="19"/>
      <c r="AA65" s="19"/>
      <c r="AB65" s="19"/>
      <c r="AC65" s="19"/>
      <c r="AD65" s="19"/>
      <c r="AE65" s="19"/>
      <c r="AF65" s="19"/>
      <c r="AG65" s="19"/>
      <c r="AH65" s="19"/>
      <c r="AI65" s="19"/>
      <c r="AJ65" s="19"/>
      <c r="AK65" s="19"/>
      <c r="AL65" s="19"/>
      <c r="AM65" s="19"/>
      <c r="AN65" s="19"/>
      <c r="AO65" s="19"/>
      <c r="AP65" s="19"/>
      <c r="AQ65" s="19"/>
      <c r="AR65" s="19"/>
      <c r="AS65" s="19"/>
      <c r="AT65" s="19"/>
      <c r="AU65" s="19"/>
      <c r="AV65" s="19"/>
      <c r="AW65" s="19"/>
      <c r="AX65" s="19"/>
      <c r="AY65" s="19"/>
      <c r="AZ65" s="19"/>
      <c r="BA65" s="19"/>
      <c r="BB65" s="19"/>
      <c r="BC65" s="19"/>
      <c r="BD65" s="19"/>
      <c r="BE65" s="19"/>
      <c r="BF65" s="19"/>
      <c r="BG65" s="19"/>
      <c r="BH65" s="19"/>
      <c r="BI65" s="19"/>
      <c r="BJ65" s="19"/>
      <c r="BK65" s="19"/>
      <c r="BL65" s="29"/>
      <c r="BM65">
        <f>IFERROR(VLOOKUP(BM$6,Hoja1!$F$2:$XFD$61,E65+4,FALSE),0)</f>
        <v>0</v>
      </c>
      <c r="BN65">
        <f>IFERROR(VLOOKUP(BN$6,Hoja1!$F$2:$XFD$61,F65+4,FALSE),0)</f>
        <v>0</v>
      </c>
      <c r="BO65">
        <f>IFERROR(VLOOKUP(BO$6,Hoja1!$F$2:$XFD$61,G65+4,FALSE),0)</f>
        <v>0</v>
      </c>
      <c r="BP65">
        <f>IFERROR(VLOOKUP(BP$6,Hoja1!$F$2:$XFD$61,H65+4,FALSE),0)</f>
        <v>0</v>
      </c>
      <c r="BQ65">
        <f>IFERROR(VLOOKUP(BQ$6,Hoja1!$F$2:$XFD$61,I65+4,FALSE),0)</f>
        <v>0</v>
      </c>
      <c r="BR65">
        <f>IFERROR(VLOOKUP(BR$6,Hoja1!$F$2:$XFD$61,J65+4,FALSE),0)</f>
        <v>0</v>
      </c>
      <c r="BS65">
        <f>IFERROR(VLOOKUP(BS$6,Hoja1!$F$2:$XFD$61,K65+4,FALSE),0)</f>
        <v>0</v>
      </c>
      <c r="BT65">
        <f>IFERROR(VLOOKUP(BT$6,Hoja1!$F$2:$XFD$61,L65+4,FALSE),0)</f>
        <v>0</v>
      </c>
      <c r="BU65">
        <f>IFERROR(VLOOKUP(BU$6,Hoja1!$F$2:$XFD$61,M65+4,FALSE),0)</f>
        <v>0</v>
      </c>
      <c r="BV65">
        <f>IFERROR(VLOOKUP(BV$6,Hoja1!$F$2:$XFD$61,N65+4,FALSE),0)</f>
        <v>0</v>
      </c>
      <c r="BW65">
        <f>IFERROR(VLOOKUP(BW$6,Hoja1!$F$2:$XFD$61,O65+4,FALSE),0)</f>
        <v>0</v>
      </c>
      <c r="BX65">
        <f>IFERROR(VLOOKUP(BX$6,Hoja1!$F$2:$XFD$61,P65+4,FALSE),0)</f>
        <v>0</v>
      </c>
      <c r="BY65">
        <f>IFERROR(VLOOKUP(BY$6,Hoja1!$F$2:$XFD$61,Q65+4,FALSE),0)</f>
        <v>0</v>
      </c>
      <c r="BZ65">
        <f>IFERROR(VLOOKUP(BZ$6,Hoja1!$F$2:$XFD$61,R65+4,FALSE),0)</f>
        <v>0</v>
      </c>
      <c r="CA65">
        <f>IFERROR(VLOOKUP(CA$6,Hoja1!$F$2:$XFD$61,S65+4,FALSE),0)</f>
        <v>0</v>
      </c>
      <c r="CB65">
        <f>IFERROR(VLOOKUP(CB$6,Hoja1!$F$2:$XFD$61,T65+4,FALSE),0)</f>
        <v>0</v>
      </c>
      <c r="CC65">
        <f>IFERROR(VLOOKUP(CC$6,Hoja1!$F$2:$XFD$61,U65+4,FALSE),0)</f>
        <v>0</v>
      </c>
      <c r="CD65">
        <f>IFERROR(VLOOKUP(CD$6,Hoja1!$F$2:$XFD$61,V65+4,FALSE),0)</f>
        <v>0</v>
      </c>
      <c r="CE65">
        <f>IFERROR(VLOOKUP(CE$6,Hoja1!$F$2:$XFD$61,W65+4,FALSE),0)</f>
        <v>0</v>
      </c>
      <c r="CF65">
        <f>IFERROR(VLOOKUP(CF$6,Hoja1!$F$2:$XFD$61,X65+4,FALSE),0)</f>
        <v>0</v>
      </c>
      <c r="CG65">
        <f>IFERROR(VLOOKUP(CG$6,Hoja1!$F$2:$XFD$61,Y65+4,FALSE),0)</f>
        <v>0</v>
      </c>
      <c r="CH65">
        <f>IFERROR(VLOOKUP(CH$6,Hoja1!$F$2:$XFD$61,Z65+4,FALSE),0)</f>
        <v>0</v>
      </c>
      <c r="CI65">
        <f>IFERROR(VLOOKUP(CI$6,Hoja1!$F$2:$XFD$61,AA65+4,FALSE),0)</f>
        <v>0</v>
      </c>
      <c r="CJ65">
        <f>IFERROR(VLOOKUP(CJ$6,Hoja1!$F$2:$XFD$61,AB65+4,FALSE),0)</f>
        <v>0</v>
      </c>
      <c r="CK65">
        <f>IFERROR(VLOOKUP(CK$6,Hoja1!$F$2:$XFD$61,AC65+4,FALSE),0)</f>
        <v>0</v>
      </c>
      <c r="CL65">
        <f>IFERROR(VLOOKUP(CL$6,Hoja1!$F$2:$XFD$61,AD65+4,FALSE),0)</f>
        <v>0</v>
      </c>
      <c r="CM65">
        <f>IFERROR(VLOOKUP(CM$6,Hoja1!$F$2:$XFD$61,AE65+4,FALSE),0)</f>
        <v>0</v>
      </c>
      <c r="CN65">
        <f>IFERROR(VLOOKUP(CN$6,Hoja1!$F$2:$XFD$61,AF65+4,FALSE),0)</f>
        <v>0</v>
      </c>
      <c r="CO65">
        <f>IFERROR(VLOOKUP(CO$6,Hoja1!$F$2:$XFD$61,AG65+4,FALSE),0)</f>
        <v>0</v>
      </c>
      <c r="CP65">
        <f>IFERROR(VLOOKUP(CP$6,Hoja1!$F$2:$XFD$61,AH65+4,FALSE),0)</f>
        <v>0</v>
      </c>
      <c r="CQ65">
        <f>IFERROR(VLOOKUP(CQ$6,Hoja1!$F$2:$XFD$61,AI65+4,FALSE),0)</f>
        <v>0</v>
      </c>
      <c r="CR65">
        <f>IFERROR(VLOOKUP(CR$6,Hoja1!$F$2:$XFD$61,AJ65+4,FALSE),0)</f>
        <v>0</v>
      </c>
      <c r="CS65">
        <f>IFERROR(VLOOKUP(CS$6,Hoja1!$F$2:$XFD$61,AK65+4,FALSE),0)</f>
        <v>0</v>
      </c>
      <c r="CT65">
        <f>IFERROR(VLOOKUP(CT$6,Hoja1!$F$2:$XFD$61,AL65+4,FALSE),0)</f>
        <v>0</v>
      </c>
      <c r="CU65">
        <f>IFERROR(VLOOKUP(CU$6,Hoja1!$F$2:$XFD$61,AM65+4,FALSE),0)</f>
        <v>0</v>
      </c>
      <c r="CV65">
        <f>IFERROR(VLOOKUP(CV$6,Hoja1!$F$2:$XFD$61,AN65+4,FALSE),0)</f>
        <v>0</v>
      </c>
      <c r="CW65">
        <f>IFERROR(VLOOKUP(CW$6,Hoja1!$F$2:$XFD$61,AO65+4,FALSE),0)</f>
        <v>0</v>
      </c>
      <c r="CX65">
        <f>IFERROR(VLOOKUP(CX$6,Hoja1!$F$2:$XFD$61,AP65+4,FALSE),0)</f>
        <v>0</v>
      </c>
      <c r="CY65">
        <f>IFERROR(VLOOKUP(CY$6,Hoja1!$F$2:$XFD$61,AQ65+4,FALSE),0)</f>
        <v>0</v>
      </c>
      <c r="CZ65">
        <f>IFERROR(VLOOKUP(CZ$6,Hoja1!$F$2:$XFD$61,AR65+4,FALSE),0)</f>
        <v>0</v>
      </c>
      <c r="DA65">
        <f>IFERROR(VLOOKUP(DA$6,Hoja1!$F$2:$XFD$61,AS65+4,FALSE),0)</f>
        <v>0</v>
      </c>
      <c r="DB65">
        <f>IFERROR(VLOOKUP(DB$6,Hoja1!$F$2:$XFD$61,AT65+4,FALSE),0)</f>
        <v>0</v>
      </c>
      <c r="DC65">
        <f>IFERROR(VLOOKUP(DC$6,Hoja1!$F$2:$XFD$61,AU65+4,FALSE),0)</f>
        <v>0</v>
      </c>
      <c r="DD65">
        <f>IFERROR(VLOOKUP(DD$6,Hoja1!$F$2:$XFD$61,AV65+4,FALSE),0)</f>
        <v>0</v>
      </c>
      <c r="DE65">
        <f>IFERROR(VLOOKUP(DE$6,Hoja1!$F$2:$XFD$61,AW65+4,FALSE),0)</f>
        <v>0</v>
      </c>
      <c r="DF65">
        <f>IFERROR(VLOOKUP(DF$6,Hoja1!$F$2:$XFD$61,AX65+4,FALSE),0)</f>
        <v>0</v>
      </c>
      <c r="DG65">
        <f>IFERROR(VLOOKUP(DG$6,Hoja1!$F$2:$XFD$61,AY65+4,FALSE),0)</f>
        <v>0</v>
      </c>
      <c r="DH65">
        <f>IFERROR(VLOOKUP(DH$6,Hoja1!$F$2:$XFD$61,AZ65+4,FALSE),0)</f>
        <v>0</v>
      </c>
      <c r="DI65">
        <f>IFERROR(VLOOKUP(DI$6,Hoja1!$F$2:$XFD$61,BA65+4,FALSE),0)</f>
        <v>0</v>
      </c>
      <c r="DJ65">
        <f>IFERROR(VLOOKUP(DJ$6,Hoja1!$F$2:$XFD$61,BB65+4,FALSE),0)</f>
        <v>0</v>
      </c>
      <c r="DK65">
        <f>IFERROR(VLOOKUP(DK$6,Hoja1!$F$2:$XFD$61,BC65+4,FALSE),0)</f>
        <v>0</v>
      </c>
      <c r="DL65">
        <f>IFERROR(VLOOKUP(DL$6,Hoja1!$F$2:$XFD$61,BD65+4,FALSE),0)</f>
        <v>0</v>
      </c>
      <c r="DM65">
        <f>IFERROR(VLOOKUP(DM$6,Hoja1!$F$2:$XFD$61,BE65+4,FALSE),0)</f>
        <v>0</v>
      </c>
      <c r="DN65">
        <f>IFERROR(VLOOKUP(DN$6,Hoja1!$F$2:$XFD$61,BF65+4,FALSE),0)</f>
        <v>0</v>
      </c>
      <c r="DO65">
        <f>IFERROR(VLOOKUP(DO$6,Hoja1!$F$2:$XFD$61,BG65+4,FALSE),0)</f>
        <v>0</v>
      </c>
      <c r="DP65">
        <f>IFERROR(VLOOKUP(DP$6,Hoja1!$F$2:$XFD$61,BH65+4,FALSE),0)</f>
        <v>0</v>
      </c>
      <c r="DQ65">
        <f>IFERROR(VLOOKUP(DQ$6,Hoja1!$F$2:$XFD$61,BI65+4,FALSE),0)</f>
        <v>0</v>
      </c>
      <c r="DR65">
        <f>IFERROR(VLOOKUP(DR$6,Hoja1!$F$2:$XFD$61,BJ65+4,FALSE),0)</f>
        <v>0</v>
      </c>
      <c r="DS65">
        <f>IFERROR(VLOOKUP(DS$6,Hoja1!$F$2:$XFD$61,BK65+4,FALSE),0)</f>
        <v>0</v>
      </c>
      <c r="DT65">
        <f>IFERROR(VLOOKUP(DT$6,Hoja1!$F$2:$XFD$61,BL65+4,FALSE),0)</f>
        <v>0</v>
      </c>
      <c r="DU65" s="15" t="str">
        <f t="shared" si="0"/>
        <v/>
      </c>
      <c r="DV65" s="16" t="str">
        <f>IF(D65&lt;&gt;"",IF(DU65="","",IF(DU65&gt;=$DU$7*Hoja1!$E$2,4+3/($DU$7*(1-Hoja1!$E$2))*(DU65-$DU$7*Hoja1!$E$2),1+3/($DU$7*Hoja1!$E$2)*DU65)),DU65)</f>
        <v/>
      </c>
      <c r="DW65" s="47" t="b">
        <v>0</v>
      </c>
    </row>
    <row r="66" spans="1:127" ht="23.25" customHeight="1" x14ac:dyDescent="0.25">
      <c r="A66" s="17">
        <v>57</v>
      </c>
      <c r="B66" s="18"/>
      <c r="C66" s="18"/>
      <c r="D66" s="1"/>
      <c r="E66" s="28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19"/>
      <c r="Q66" s="19"/>
      <c r="R66" s="19"/>
      <c r="S66" s="19"/>
      <c r="T66" s="19"/>
      <c r="U66" s="19"/>
      <c r="V66" s="19"/>
      <c r="W66" s="19"/>
      <c r="X66" s="19"/>
      <c r="Y66" s="19"/>
      <c r="Z66" s="19"/>
      <c r="AA66" s="19"/>
      <c r="AB66" s="19"/>
      <c r="AC66" s="19"/>
      <c r="AD66" s="19"/>
      <c r="AE66" s="19"/>
      <c r="AF66" s="19"/>
      <c r="AG66" s="19"/>
      <c r="AH66" s="19"/>
      <c r="AI66" s="19"/>
      <c r="AJ66" s="19"/>
      <c r="AK66" s="19"/>
      <c r="AL66" s="19"/>
      <c r="AM66" s="19"/>
      <c r="AN66" s="19"/>
      <c r="AO66" s="19"/>
      <c r="AP66" s="19"/>
      <c r="AQ66" s="19"/>
      <c r="AR66" s="19"/>
      <c r="AS66" s="19"/>
      <c r="AT66" s="19"/>
      <c r="AU66" s="19"/>
      <c r="AV66" s="19"/>
      <c r="AW66" s="19"/>
      <c r="AX66" s="19"/>
      <c r="AY66" s="19"/>
      <c r="AZ66" s="19"/>
      <c r="BA66" s="19"/>
      <c r="BB66" s="19"/>
      <c r="BC66" s="19"/>
      <c r="BD66" s="19"/>
      <c r="BE66" s="19"/>
      <c r="BF66" s="19"/>
      <c r="BG66" s="19"/>
      <c r="BH66" s="19"/>
      <c r="BI66" s="19"/>
      <c r="BJ66" s="19"/>
      <c r="BK66" s="19"/>
      <c r="BL66" s="29"/>
      <c r="BM66">
        <f>IFERROR(VLOOKUP(BM$6,Hoja1!$F$2:$XFD$61,E66+4,FALSE),0)</f>
        <v>0</v>
      </c>
      <c r="BN66">
        <f>IFERROR(VLOOKUP(BN$6,Hoja1!$F$2:$XFD$61,F66+4,FALSE),0)</f>
        <v>0</v>
      </c>
      <c r="BO66">
        <f>IFERROR(VLOOKUP(BO$6,Hoja1!$F$2:$XFD$61,G66+4,FALSE),0)</f>
        <v>0</v>
      </c>
      <c r="BP66">
        <f>IFERROR(VLOOKUP(BP$6,Hoja1!$F$2:$XFD$61,H66+4,FALSE),0)</f>
        <v>0</v>
      </c>
      <c r="BQ66">
        <f>IFERROR(VLOOKUP(BQ$6,Hoja1!$F$2:$XFD$61,I66+4,FALSE),0)</f>
        <v>0</v>
      </c>
      <c r="BR66">
        <f>IFERROR(VLOOKUP(BR$6,Hoja1!$F$2:$XFD$61,J66+4,FALSE),0)</f>
        <v>0</v>
      </c>
      <c r="BS66">
        <f>IFERROR(VLOOKUP(BS$6,Hoja1!$F$2:$XFD$61,K66+4,FALSE),0)</f>
        <v>0</v>
      </c>
      <c r="BT66">
        <f>IFERROR(VLOOKUP(BT$6,Hoja1!$F$2:$XFD$61,L66+4,FALSE),0)</f>
        <v>0</v>
      </c>
      <c r="BU66">
        <f>IFERROR(VLOOKUP(BU$6,Hoja1!$F$2:$XFD$61,M66+4,FALSE),0)</f>
        <v>0</v>
      </c>
      <c r="BV66">
        <f>IFERROR(VLOOKUP(BV$6,Hoja1!$F$2:$XFD$61,N66+4,FALSE),0)</f>
        <v>0</v>
      </c>
      <c r="BW66">
        <f>IFERROR(VLOOKUP(BW$6,Hoja1!$F$2:$XFD$61,O66+4,FALSE),0)</f>
        <v>0</v>
      </c>
      <c r="BX66">
        <f>IFERROR(VLOOKUP(BX$6,Hoja1!$F$2:$XFD$61,P66+4,FALSE),0)</f>
        <v>0</v>
      </c>
      <c r="BY66">
        <f>IFERROR(VLOOKUP(BY$6,Hoja1!$F$2:$XFD$61,Q66+4,FALSE),0)</f>
        <v>0</v>
      </c>
      <c r="BZ66">
        <f>IFERROR(VLOOKUP(BZ$6,Hoja1!$F$2:$XFD$61,R66+4,FALSE),0)</f>
        <v>0</v>
      </c>
      <c r="CA66">
        <f>IFERROR(VLOOKUP(CA$6,Hoja1!$F$2:$XFD$61,S66+4,FALSE),0)</f>
        <v>0</v>
      </c>
      <c r="CB66">
        <f>IFERROR(VLOOKUP(CB$6,Hoja1!$F$2:$XFD$61,T66+4,FALSE),0)</f>
        <v>0</v>
      </c>
      <c r="CC66">
        <f>IFERROR(VLOOKUP(CC$6,Hoja1!$F$2:$XFD$61,U66+4,FALSE),0)</f>
        <v>0</v>
      </c>
      <c r="CD66">
        <f>IFERROR(VLOOKUP(CD$6,Hoja1!$F$2:$XFD$61,V66+4,FALSE),0)</f>
        <v>0</v>
      </c>
      <c r="CE66">
        <f>IFERROR(VLOOKUP(CE$6,Hoja1!$F$2:$XFD$61,W66+4,FALSE),0)</f>
        <v>0</v>
      </c>
      <c r="CF66">
        <f>IFERROR(VLOOKUP(CF$6,Hoja1!$F$2:$XFD$61,X66+4,FALSE),0)</f>
        <v>0</v>
      </c>
      <c r="CG66">
        <f>IFERROR(VLOOKUP(CG$6,Hoja1!$F$2:$XFD$61,Y66+4,FALSE),0)</f>
        <v>0</v>
      </c>
      <c r="CH66">
        <f>IFERROR(VLOOKUP(CH$6,Hoja1!$F$2:$XFD$61,Z66+4,FALSE),0)</f>
        <v>0</v>
      </c>
      <c r="CI66">
        <f>IFERROR(VLOOKUP(CI$6,Hoja1!$F$2:$XFD$61,AA66+4,FALSE),0)</f>
        <v>0</v>
      </c>
      <c r="CJ66">
        <f>IFERROR(VLOOKUP(CJ$6,Hoja1!$F$2:$XFD$61,AB66+4,FALSE),0)</f>
        <v>0</v>
      </c>
      <c r="CK66">
        <f>IFERROR(VLOOKUP(CK$6,Hoja1!$F$2:$XFD$61,AC66+4,FALSE),0)</f>
        <v>0</v>
      </c>
      <c r="CL66">
        <f>IFERROR(VLOOKUP(CL$6,Hoja1!$F$2:$XFD$61,AD66+4,FALSE),0)</f>
        <v>0</v>
      </c>
      <c r="CM66">
        <f>IFERROR(VLOOKUP(CM$6,Hoja1!$F$2:$XFD$61,AE66+4,FALSE),0)</f>
        <v>0</v>
      </c>
      <c r="CN66">
        <f>IFERROR(VLOOKUP(CN$6,Hoja1!$F$2:$XFD$61,AF66+4,FALSE),0)</f>
        <v>0</v>
      </c>
      <c r="CO66">
        <f>IFERROR(VLOOKUP(CO$6,Hoja1!$F$2:$XFD$61,AG66+4,FALSE),0)</f>
        <v>0</v>
      </c>
      <c r="CP66">
        <f>IFERROR(VLOOKUP(CP$6,Hoja1!$F$2:$XFD$61,AH66+4,FALSE),0)</f>
        <v>0</v>
      </c>
      <c r="CQ66">
        <f>IFERROR(VLOOKUP(CQ$6,Hoja1!$F$2:$XFD$61,AI66+4,FALSE),0)</f>
        <v>0</v>
      </c>
      <c r="CR66">
        <f>IFERROR(VLOOKUP(CR$6,Hoja1!$F$2:$XFD$61,AJ66+4,FALSE),0)</f>
        <v>0</v>
      </c>
      <c r="CS66">
        <f>IFERROR(VLOOKUP(CS$6,Hoja1!$F$2:$XFD$61,AK66+4,FALSE),0)</f>
        <v>0</v>
      </c>
      <c r="CT66">
        <f>IFERROR(VLOOKUP(CT$6,Hoja1!$F$2:$XFD$61,AL66+4,FALSE),0)</f>
        <v>0</v>
      </c>
      <c r="CU66">
        <f>IFERROR(VLOOKUP(CU$6,Hoja1!$F$2:$XFD$61,AM66+4,FALSE),0)</f>
        <v>0</v>
      </c>
      <c r="CV66">
        <f>IFERROR(VLOOKUP(CV$6,Hoja1!$F$2:$XFD$61,AN66+4,FALSE),0)</f>
        <v>0</v>
      </c>
      <c r="CW66">
        <f>IFERROR(VLOOKUP(CW$6,Hoja1!$F$2:$XFD$61,AO66+4,FALSE),0)</f>
        <v>0</v>
      </c>
      <c r="CX66">
        <f>IFERROR(VLOOKUP(CX$6,Hoja1!$F$2:$XFD$61,AP66+4,FALSE),0)</f>
        <v>0</v>
      </c>
      <c r="CY66">
        <f>IFERROR(VLOOKUP(CY$6,Hoja1!$F$2:$XFD$61,AQ66+4,FALSE),0)</f>
        <v>0</v>
      </c>
      <c r="CZ66">
        <f>IFERROR(VLOOKUP(CZ$6,Hoja1!$F$2:$XFD$61,AR66+4,FALSE),0)</f>
        <v>0</v>
      </c>
      <c r="DA66">
        <f>IFERROR(VLOOKUP(DA$6,Hoja1!$F$2:$XFD$61,AS66+4,FALSE),0)</f>
        <v>0</v>
      </c>
      <c r="DB66">
        <f>IFERROR(VLOOKUP(DB$6,Hoja1!$F$2:$XFD$61,AT66+4,FALSE),0)</f>
        <v>0</v>
      </c>
      <c r="DC66">
        <f>IFERROR(VLOOKUP(DC$6,Hoja1!$F$2:$XFD$61,AU66+4,FALSE),0)</f>
        <v>0</v>
      </c>
      <c r="DD66">
        <f>IFERROR(VLOOKUP(DD$6,Hoja1!$F$2:$XFD$61,AV66+4,FALSE),0)</f>
        <v>0</v>
      </c>
      <c r="DE66">
        <f>IFERROR(VLOOKUP(DE$6,Hoja1!$F$2:$XFD$61,AW66+4,FALSE),0)</f>
        <v>0</v>
      </c>
      <c r="DF66">
        <f>IFERROR(VLOOKUP(DF$6,Hoja1!$F$2:$XFD$61,AX66+4,FALSE),0)</f>
        <v>0</v>
      </c>
      <c r="DG66">
        <f>IFERROR(VLOOKUP(DG$6,Hoja1!$F$2:$XFD$61,AY66+4,FALSE),0)</f>
        <v>0</v>
      </c>
      <c r="DH66">
        <f>IFERROR(VLOOKUP(DH$6,Hoja1!$F$2:$XFD$61,AZ66+4,FALSE),0)</f>
        <v>0</v>
      </c>
      <c r="DI66">
        <f>IFERROR(VLOOKUP(DI$6,Hoja1!$F$2:$XFD$61,BA66+4,FALSE),0)</f>
        <v>0</v>
      </c>
      <c r="DJ66">
        <f>IFERROR(VLOOKUP(DJ$6,Hoja1!$F$2:$XFD$61,BB66+4,FALSE),0)</f>
        <v>0</v>
      </c>
      <c r="DK66">
        <f>IFERROR(VLOOKUP(DK$6,Hoja1!$F$2:$XFD$61,BC66+4,FALSE),0)</f>
        <v>0</v>
      </c>
      <c r="DL66">
        <f>IFERROR(VLOOKUP(DL$6,Hoja1!$F$2:$XFD$61,BD66+4,FALSE),0)</f>
        <v>0</v>
      </c>
      <c r="DM66">
        <f>IFERROR(VLOOKUP(DM$6,Hoja1!$F$2:$XFD$61,BE66+4,FALSE),0)</f>
        <v>0</v>
      </c>
      <c r="DN66">
        <f>IFERROR(VLOOKUP(DN$6,Hoja1!$F$2:$XFD$61,BF66+4,FALSE),0)</f>
        <v>0</v>
      </c>
      <c r="DO66">
        <f>IFERROR(VLOOKUP(DO$6,Hoja1!$F$2:$XFD$61,BG66+4,FALSE),0)</f>
        <v>0</v>
      </c>
      <c r="DP66">
        <f>IFERROR(VLOOKUP(DP$6,Hoja1!$F$2:$XFD$61,BH66+4,FALSE),0)</f>
        <v>0</v>
      </c>
      <c r="DQ66">
        <f>IFERROR(VLOOKUP(DQ$6,Hoja1!$F$2:$XFD$61,BI66+4,FALSE),0)</f>
        <v>0</v>
      </c>
      <c r="DR66">
        <f>IFERROR(VLOOKUP(DR$6,Hoja1!$F$2:$XFD$61,BJ66+4,FALSE),0)</f>
        <v>0</v>
      </c>
      <c r="DS66">
        <f>IFERROR(VLOOKUP(DS$6,Hoja1!$F$2:$XFD$61,BK66+4,FALSE),0)</f>
        <v>0</v>
      </c>
      <c r="DT66">
        <f>IFERROR(VLOOKUP(DT$6,Hoja1!$F$2:$XFD$61,BL66+4,FALSE),0)</f>
        <v>0</v>
      </c>
      <c r="DU66" s="15" t="str">
        <f t="shared" si="0"/>
        <v/>
      </c>
      <c r="DV66" s="16" t="str">
        <f>IF(D66&lt;&gt;"",IF(DU66="","",IF(DU66&gt;=$DU$7*Hoja1!$E$2,4+3/($DU$7*(1-Hoja1!$E$2))*(DU66-$DU$7*Hoja1!$E$2),1+3/($DU$7*Hoja1!$E$2)*DU66)),DU66)</f>
        <v/>
      </c>
      <c r="DW66" s="47" t="b">
        <v>0</v>
      </c>
    </row>
    <row r="67" spans="1:127" ht="23.25" customHeight="1" x14ac:dyDescent="0.25">
      <c r="A67" s="17">
        <v>58</v>
      </c>
      <c r="B67" s="18"/>
      <c r="C67" s="18"/>
      <c r="D67" s="1"/>
      <c r="E67" s="28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  <c r="Q67" s="19"/>
      <c r="R67" s="19"/>
      <c r="S67" s="19"/>
      <c r="T67" s="19"/>
      <c r="U67" s="19"/>
      <c r="V67" s="19"/>
      <c r="W67" s="19"/>
      <c r="X67" s="19"/>
      <c r="Y67" s="19"/>
      <c r="Z67" s="19"/>
      <c r="AA67" s="19"/>
      <c r="AB67" s="19"/>
      <c r="AC67" s="19"/>
      <c r="AD67" s="19"/>
      <c r="AE67" s="19"/>
      <c r="AF67" s="19"/>
      <c r="AG67" s="19"/>
      <c r="AH67" s="19"/>
      <c r="AI67" s="19"/>
      <c r="AJ67" s="19"/>
      <c r="AK67" s="19"/>
      <c r="AL67" s="19"/>
      <c r="AM67" s="19"/>
      <c r="AN67" s="19"/>
      <c r="AO67" s="19"/>
      <c r="AP67" s="19"/>
      <c r="AQ67" s="19"/>
      <c r="AR67" s="19"/>
      <c r="AS67" s="19"/>
      <c r="AT67" s="19"/>
      <c r="AU67" s="19"/>
      <c r="AV67" s="19"/>
      <c r="AW67" s="19"/>
      <c r="AX67" s="19"/>
      <c r="AY67" s="19"/>
      <c r="AZ67" s="19"/>
      <c r="BA67" s="19"/>
      <c r="BB67" s="19"/>
      <c r="BC67" s="19"/>
      <c r="BD67" s="19"/>
      <c r="BE67" s="19"/>
      <c r="BF67" s="19"/>
      <c r="BG67" s="19"/>
      <c r="BH67" s="19"/>
      <c r="BI67" s="19"/>
      <c r="BJ67" s="19"/>
      <c r="BK67" s="19"/>
      <c r="BL67" s="29"/>
      <c r="BM67">
        <f>IFERROR(VLOOKUP(BM$6,Hoja1!$F$2:$XFD$61,E67+4,FALSE),0)</f>
        <v>0</v>
      </c>
      <c r="BN67">
        <f>IFERROR(VLOOKUP(BN$6,Hoja1!$F$2:$XFD$61,F67+4,FALSE),0)</f>
        <v>0</v>
      </c>
      <c r="BO67">
        <f>IFERROR(VLOOKUP(BO$6,Hoja1!$F$2:$XFD$61,G67+4,FALSE),0)</f>
        <v>0</v>
      </c>
      <c r="BP67">
        <f>IFERROR(VLOOKUP(BP$6,Hoja1!$F$2:$XFD$61,H67+4,FALSE),0)</f>
        <v>0</v>
      </c>
      <c r="BQ67">
        <f>IFERROR(VLOOKUP(BQ$6,Hoja1!$F$2:$XFD$61,I67+4,FALSE),0)</f>
        <v>0</v>
      </c>
      <c r="BR67">
        <f>IFERROR(VLOOKUP(BR$6,Hoja1!$F$2:$XFD$61,J67+4,FALSE),0)</f>
        <v>0</v>
      </c>
      <c r="BS67">
        <f>IFERROR(VLOOKUP(BS$6,Hoja1!$F$2:$XFD$61,K67+4,FALSE),0)</f>
        <v>0</v>
      </c>
      <c r="BT67">
        <f>IFERROR(VLOOKUP(BT$6,Hoja1!$F$2:$XFD$61,L67+4,FALSE),0)</f>
        <v>0</v>
      </c>
      <c r="BU67">
        <f>IFERROR(VLOOKUP(BU$6,Hoja1!$F$2:$XFD$61,M67+4,FALSE),0)</f>
        <v>0</v>
      </c>
      <c r="BV67">
        <f>IFERROR(VLOOKUP(BV$6,Hoja1!$F$2:$XFD$61,N67+4,FALSE),0)</f>
        <v>0</v>
      </c>
      <c r="BW67">
        <f>IFERROR(VLOOKUP(BW$6,Hoja1!$F$2:$XFD$61,O67+4,FALSE),0)</f>
        <v>0</v>
      </c>
      <c r="BX67">
        <f>IFERROR(VLOOKUP(BX$6,Hoja1!$F$2:$XFD$61,P67+4,FALSE),0)</f>
        <v>0</v>
      </c>
      <c r="BY67">
        <f>IFERROR(VLOOKUP(BY$6,Hoja1!$F$2:$XFD$61,Q67+4,FALSE),0)</f>
        <v>0</v>
      </c>
      <c r="BZ67">
        <f>IFERROR(VLOOKUP(BZ$6,Hoja1!$F$2:$XFD$61,R67+4,FALSE),0)</f>
        <v>0</v>
      </c>
      <c r="CA67">
        <f>IFERROR(VLOOKUP(CA$6,Hoja1!$F$2:$XFD$61,S67+4,FALSE),0)</f>
        <v>0</v>
      </c>
      <c r="CB67">
        <f>IFERROR(VLOOKUP(CB$6,Hoja1!$F$2:$XFD$61,T67+4,FALSE),0)</f>
        <v>0</v>
      </c>
      <c r="CC67">
        <f>IFERROR(VLOOKUP(CC$6,Hoja1!$F$2:$XFD$61,U67+4,FALSE),0)</f>
        <v>0</v>
      </c>
      <c r="CD67">
        <f>IFERROR(VLOOKUP(CD$6,Hoja1!$F$2:$XFD$61,V67+4,FALSE),0)</f>
        <v>0</v>
      </c>
      <c r="CE67">
        <f>IFERROR(VLOOKUP(CE$6,Hoja1!$F$2:$XFD$61,W67+4,FALSE),0)</f>
        <v>0</v>
      </c>
      <c r="CF67">
        <f>IFERROR(VLOOKUP(CF$6,Hoja1!$F$2:$XFD$61,X67+4,FALSE),0)</f>
        <v>0</v>
      </c>
      <c r="CG67">
        <f>IFERROR(VLOOKUP(CG$6,Hoja1!$F$2:$XFD$61,Y67+4,FALSE),0)</f>
        <v>0</v>
      </c>
      <c r="CH67">
        <f>IFERROR(VLOOKUP(CH$6,Hoja1!$F$2:$XFD$61,Z67+4,FALSE),0)</f>
        <v>0</v>
      </c>
      <c r="CI67">
        <f>IFERROR(VLOOKUP(CI$6,Hoja1!$F$2:$XFD$61,AA67+4,FALSE),0)</f>
        <v>0</v>
      </c>
      <c r="CJ67">
        <f>IFERROR(VLOOKUP(CJ$6,Hoja1!$F$2:$XFD$61,AB67+4,FALSE),0)</f>
        <v>0</v>
      </c>
      <c r="CK67">
        <f>IFERROR(VLOOKUP(CK$6,Hoja1!$F$2:$XFD$61,AC67+4,FALSE),0)</f>
        <v>0</v>
      </c>
      <c r="CL67">
        <f>IFERROR(VLOOKUP(CL$6,Hoja1!$F$2:$XFD$61,AD67+4,FALSE),0)</f>
        <v>0</v>
      </c>
      <c r="CM67">
        <f>IFERROR(VLOOKUP(CM$6,Hoja1!$F$2:$XFD$61,AE67+4,FALSE),0)</f>
        <v>0</v>
      </c>
      <c r="CN67">
        <f>IFERROR(VLOOKUP(CN$6,Hoja1!$F$2:$XFD$61,AF67+4,FALSE),0)</f>
        <v>0</v>
      </c>
      <c r="CO67">
        <f>IFERROR(VLOOKUP(CO$6,Hoja1!$F$2:$XFD$61,AG67+4,FALSE),0)</f>
        <v>0</v>
      </c>
      <c r="CP67">
        <f>IFERROR(VLOOKUP(CP$6,Hoja1!$F$2:$XFD$61,AH67+4,FALSE),0)</f>
        <v>0</v>
      </c>
      <c r="CQ67">
        <f>IFERROR(VLOOKUP(CQ$6,Hoja1!$F$2:$XFD$61,AI67+4,FALSE),0)</f>
        <v>0</v>
      </c>
      <c r="CR67">
        <f>IFERROR(VLOOKUP(CR$6,Hoja1!$F$2:$XFD$61,AJ67+4,FALSE),0)</f>
        <v>0</v>
      </c>
      <c r="CS67">
        <f>IFERROR(VLOOKUP(CS$6,Hoja1!$F$2:$XFD$61,AK67+4,FALSE),0)</f>
        <v>0</v>
      </c>
      <c r="CT67">
        <f>IFERROR(VLOOKUP(CT$6,Hoja1!$F$2:$XFD$61,AL67+4,FALSE),0)</f>
        <v>0</v>
      </c>
      <c r="CU67">
        <f>IFERROR(VLOOKUP(CU$6,Hoja1!$F$2:$XFD$61,AM67+4,FALSE),0)</f>
        <v>0</v>
      </c>
      <c r="CV67">
        <f>IFERROR(VLOOKUP(CV$6,Hoja1!$F$2:$XFD$61,AN67+4,FALSE),0)</f>
        <v>0</v>
      </c>
      <c r="CW67">
        <f>IFERROR(VLOOKUP(CW$6,Hoja1!$F$2:$XFD$61,AO67+4,FALSE),0)</f>
        <v>0</v>
      </c>
      <c r="CX67">
        <f>IFERROR(VLOOKUP(CX$6,Hoja1!$F$2:$XFD$61,AP67+4,FALSE),0)</f>
        <v>0</v>
      </c>
      <c r="CY67">
        <f>IFERROR(VLOOKUP(CY$6,Hoja1!$F$2:$XFD$61,AQ67+4,FALSE),0)</f>
        <v>0</v>
      </c>
      <c r="CZ67">
        <f>IFERROR(VLOOKUP(CZ$6,Hoja1!$F$2:$XFD$61,AR67+4,FALSE),0)</f>
        <v>0</v>
      </c>
      <c r="DA67">
        <f>IFERROR(VLOOKUP(DA$6,Hoja1!$F$2:$XFD$61,AS67+4,FALSE),0)</f>
        <v>0</v>
      </c>
      <c r="DB67">
        <f>IFERROR(VLOOKUP(DB$6,Hoja1!$F$2:$XFD$61,AT67+4,FALSE),0)</f>
        <v>0</v>
      </c>
      <c r="DC67">
        <f>IFERROR(VLOOKUP(DC$6,Hoja1!$F$2:$XFD$61,AU67+4,FALSE),0)</f>
        <v>0</v>
      </c>
      <c r="DD67">
        <f>IFERROR(VLOOKUP(DD$6,Hoja1!$F$2:$XFD$61,AV67+4,FALSE),0)</f>
        <v>0</v>
      </c>
      <c r="DE67">
        <f>IFERROR(VLOOKUP(DE$6,Hoja1!$F$2:$XFD$61,AW67+4,FALSE),0)</f>
        <v>0</v>
      </c>
      <c r="DF67">
        <f>IFERROR(VLOOKUP(DF$6,Hoja1!$F$2:$XFD$61,AX67+4,FALSE),0)</f>
        <v>0</v>
      </c>
      <c r="DG67">
        <f>IFERROR(VLOOKUP(DG$6,Hoja1!$F$2:$XFD$61,AY67+4,FALSE),0)</f>
        <v>0</v>
      </c>
      <c r="DH67">
        <f>IFERROR(VLOOKUP(DH$6,Hoja1!$F$2:$XFD$61,AZ67+4,FALSE),0)</f>
        <v>0</v>
      </c>
      <c r="DI67">
        <f>IFERROR(VLOOKUP(DI$6,Hoja1!$F$2:$XFD$61,BA67+4,FALSE),0)</f>
        <v>0</v>
      </c>
      <c r="DJ67">
        <f>IFERROR(VLOOKUP(DJ$6,Hoja1!$F$2:$XFD$61,BB67+4,FALSE),0)</f>
        <v>0</v>
      </c>
      <c r="DK67">
        <f>IFERROR(VLOOKUP(DK$6,Hoja1!$F$2:$XFD$61,BC67+4,FALSE),0)</f>
        <v>0</v>
      </c>
      <c r="DL67">
        <f>IFERROR(VLOOKUP(DL$6,Hoja1!$F$2:$XFD$61,BD67+4,FALSE),0)</f>
        <v>0</v>
      </c>
      <c r="DM67">
        <f>IFERROR(VLOOKUP(DM$6,Hoja1!$F$2:$XFD$61,BE67+4,FALSE),0)</f>
        <v>0</v>
      </c>
      <c r="DN67">
        <f>IFERROR(VLOOKUP(DN$6,Hoja1!$F$2:$XFD$61,BF67+4,FALSE),0)</f>
        <v>0</v>
      </c>
      <c r="DO67">
        <f>IFERROR(VLOOKUP(DO$6,Hoja1!$F$2:$XFD$61,BG67+4,FALSE),0)</f>
        <v>0</v>
      </c>
      <c r="DP67">
        <f>IFERROR(VLOOKUP(DP$6,Hoja1!$F$2:$XFD$61,BH67+4,FALSE),0)</f>
        <v>0</v>
      </c>
      <c r="DQ67">
        <f>IFERROR(VLOOKUP(DQ$6,Hoja1!$F$2:$XFD$61,BI67+4,FALSE),0)</f>
        <v>0</v>
      </c>
      <c r="DR67">
        <f>IFERROR(VLOOKUP(DR$6,Hoja1!$F$2:$XFD$61,BJ67+4,FALSE),0)</f>
        <v>0</v>
      </c>
      <c r="DS67">
        <f>IFERROR(VLOOKUP(DS$6,Hoja1!$F$2:$XFD$61,BK67+4,FALSE),0)</f>
        <v>0</v>
      </c>
      <c r="DT67">
        <f>IFERROR(VLOOKUP(DT$6,Hoja1!$F$2:$XFD$61,BL67+4,FALSE),0)</f>
        <v>0</v>
      </c>
      <c r="DU67" s="15" t="str">
        <f t="shared" si="0"/>
        <v/>
      </c>
      <c r="DV67" s="16" t="str">
        <f>IF(D67&lt;&gt;"",IF(DU67="","",IF(DU67&gt;=$DU$7*Hoja1!$E$2,4+3/($DU$7*(1-Hoja1!$E$2))*(DU67-$DU$7*Hoja1!$E$2),1+3/($DU$7*Hoja1!$E$2)*DU67)),DU67)</f>
        <v/>
      </c>
      <c r="DW67" s="47" t="b">
        <v>0</v>
      </c>
    </row>
    <row r="68" spans="1:127" ht="23.25" customHeight="1" x14ac:dyDescent="0.25">
      <c r="A68" s="17">
        <v>59</v>
      </c>
      <c r="B68" s="18"/>
      <c r="C68" s="18"/>
      <c r="D68" s="1"/>
      <c r="E68" s="28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  <c r="Q68" s="19"/>
      <c r="R68" s="19"/>
      <c r="S68" s="19"/>
      <c r="T68" s="19"/>
      <c r="U68" s="19"/>
      <c r="V68" s="19"/>
      <c r="W68" s="19"/>
      <c r="X68" s="19"/>
      <c r="Y68" s="19"/>
      <c r="Z68" s="19"/>
      <c r="AA68" s="19"/>
      <c r="AB68" s="19"/>
      <c r="AC68" s="19"/>
      <c r="AD68" s="19"/>
      <c r="AE68" s="19"/>
      <c r="AF68" s="19"/>
      <c r="AG68" s="19"/>
      <c r="AH68" s="19"/>
      <c r="AI68" s="19"/>
      <c r="AJ68" s="19"/>
      <c r="AK68" s="19"/>
      <c r="AL68" s="19"/>
      <c r="AM68" s="19"/>
      <c r="AN68" s="19"/>
      <c r="AO68" s="19"/>
      <c r="AP68" s="19"/>
      <c r="AQ68" s="19"/>
      <c r="AR68" s="19"/>
      <c r="AS68" s="19"/>
      <c r="AT68" s="19"/>
      <c r="AU68" s="19"/>
      <c r="AV68" s="19"/>
      <c r="AW68" s="19"/>
      <c r="AX68" s="19"/>
      <c r="AY68" s="19"/>
      <c r="AZ68" s="19"/>
      <c r="BA68" s="19"/>
      <c r="BB68" s="19"/>
      <c r="BC68" s="19"/>
      <c r="BD68" s="19"/>
      <c r="BE68" s="19"/>
      <c r="BF68" s="19"/>
      <c r="BG68" s="19"/>
      <c r="BH68" s="19"/>
      <c r="BI68" s="19"/>
      <c r="BJ68" s="19"/>
      <c r="BK68" s="19"/>
      <c r="BL68" s="29"/>
      <c r="BM68">
        <f>IFERROR(VLOOKUP(BM$6,Hoja1!$F$2:$XFD$61,E68+4,FALSE),0)</f>
        <v>0</v>
      </c>
      <c r="BN68">
        <f>IFERROR(VLOOKUP(BN$6,Hoja1!$F$2:$XFD$61,F68+4,FALSE),0)</f>
        <v>0</v>
      </c>
      <c r="BO68">
        <f>IFERROR(VLOOKUP(BO$6,Hoja1!$F$2:$XFD$61,G68+4,FALSE),0)</f>
        <v>0</v>
      </c>
      <c r="BP68">
        <f>IFERROR(VLOOKUP(BP$6,Hoja1!$F$2:$XFD$61,H68+4,FALSE),0)</f>
        <v>0</v>
      </c>
      <c r="BQ68">
        <f>IFERROR(VLOOKUP(BQ$6,Hoja1!$F$2:$XFD$61,I68+4,FALSE),0)</f>
        <v>0</v>
      </c>
      <c r="BR68">
        <f>IFERROR(VLOOKUP(BR$6,Hoja1!$F$2:$XFD$61,J68+4,FALSE),0)</f>
        <v>0</v>
      </c>
      <c r="BS68">
        <f>IFERROR(VLOOKUP(BS$6,Hoja1!$F$2:$XFD$61,K68+4,FALSE),0)</f>
        <v>0</v>
      </c>
      <c r="BT68">
        <f>IFERROR(VLOOKUP(BT$6,Hoja1!$F$2:$XFD$61,L68+4,FALSE),0)</f>
        <v>0</v>
      </c>
      <c r="BU68">
        <f>IFERROR(VLOOKUP(BU$6,Hoja1!$F$2:$XFD$61,M68+4,FALSE),0)</f>
        <v>0</v>
      </c>
      <c r="BV68">
        <f>IFERROR(VLOOKUP(BV$6,Hoja1!$F$2:$XFD$61,N68+4,FALSE),0)</f>
        <v>0</v>
      </c>
      <c r="BW68">
        <f>IFERROR(VLOOKUP(BW$6,Hoja1!$F$2:$XFD$61,O68+4,FALSE),0)</f>
        <v>0</v>
      </c>
      <c r="BX68">
        <f>IFERROR(VLOOKUP(BX$6,Hoja1!$F$2:$XFD$61,P68+4,FALSE),0)</f>
        <v>0</v>
      </c>
      <c r="BY68">
        <f>IFERROR(VLOOKUP(BY$6,Hoja1!$F$2:$XFD$61,Q68+4,FALSE),0)</f>
        <v>0</v>
      </c>
      <c r="BZ68">
        <f>IFERROR(VLOOKUP(BZ$6,Hoja1!$F$2:$XFD$61,R68+4,FALSE),0)</f>
        <v>0</v>
      </c>
      <c r="CA68">
        <f>IFERROR(VLOOKUP(CA$6,Hoja1!$F$2:$XFD$61,S68+4,FALSE),0)</f>
        <v>0</v>
      </c>
      <c r="CB68">
        <f>IFERROR(VLOOKUP(CB$6,Hoja1!$F$2:$XFD$61,T68+4,FALSE),0)</f>
        <v>0</v>
      </c>
      <c r="CC68">
        <f>IFERROR(VLOOKUP(CC$6,Hoja1!$F$2:$XFD$61,U68+4,FALSE),0)</f>
        <v>0</v>
      </c>
      <c r="CD68">
        <f>IFERROR(VLOOKUP(CD$6,Hoja1!$F$2:$XFD$61,V68+4,FALSE),0)</f>
        <v>0</v>
      </c>
      <c r="CE68">
        <f>IFERROR(VLOOKUP(CE$6,Hoja1!$F$2:$XFD$61,W68+4,FALSE),0)</f>
        <v>0</v>
      </c>
      <c r="CF68">
        <f>IFERROR(VLOOKUP(CF$6,Hoja1!$F$2:$XFD$61,X68+4,FALSE),0)</f>
        <v>0</v>
      </c>
      <c r="CG68">
        <f>IFERROR(VLOOKUP(CG$6,Hoja1!$F$2:$XFD$61,Y68+4,FALSE),0)</f>
        <v>0</v>
      </c>
      <c r="CH68">
        <f>IFERROR(VLOOKUP(CH$6,Hoja1!$F$2:$XFD$61,Z68+4,FALSE),0)</f>
        <v>0</v>
      </c>
      <c r="CI68">
        <f>IFERROR(VLOOKUP(CI$6,Hoja1!$F$2:$XFD$61,AA68+4,FALSE),0)</f>
        <v>0</v>
      </c>
      <c r="CJ68">
        <f>IFERROR(VLOOKUP(CJ$6,Hoja1!$F$2:$XFD$61,AB68+4,FALSE),0)</f>
        <v>0</v>
      </c>
      <c r="CK68">
        <f>IFERROR(VLOOKUP(CK$6,Hoja1!$F$2:$XFD$61,AC68+4,FALSE),0)</f>
        <v>0</v>
      </c>
      <c r="CL68">
        <f>IFERROR(VLOOKUP(CL$6,Hoja1!$F$2:$XFD$61,AD68+4,FALSE),0)</f>
        <v>0</v>
      </c>
      <c r="CM68">
        <f>IFERROR(VLOOKUP(CM$6,Hoja1!$F$2:$XFD$61,AE68+4,FALSE),0)</f>
        <v>0</v>
      </c>
      <c r="CN68">
        <f>IFERROR(VLOOKUP(CN$6,Hoja1!$F$2:$XFD$61,AF68+4,FALSE),0)</f>
        <v>0</v>
      </c>
      <c r="CO68">
        <f>IFERROR(VLOOKUP(CO$6,Hoja1!$F$2:$XFD$61,AG68+4,FALSE),0)</f>
        <v>0</v>
      </c>
      <c r="CP68">
        <f>IFERROR(VLOOKUP(CP$6,Hoja1!$F$2:$XFD$61,AH68+4,FALSE),0)</f>
        <v>0</v>
      </c>
      <c r="CQ68">
        <f>IFERROR(VLOOKUP(CQ$6,Hoja1!$F$2:$XFD$61,AI68+4,FALSE),0)</f>
        <v>0</v>
      </c>
      <c r="CR68">
        <f>IFERROR(VLOOKUP(CR$6,Hoja1!$F$2:$XFD$61,AJ68+4,FALSE),0)</f>
        <v>0</v>
      </c>
      <c r="CS68">
        <f>IFERROR(VLOOKUP(CS$6,Hoja1!$F$2:$XFD$61,AK68+4,FALSE),0)</f>
        <v>0</v>
      </c>
      <c r="CT68">
        <f>IFERROR(VLOOKUP(CT$6,Hoja1!$F$2:$XFD$61,AL68+4,FALSE),0)</f>
        <v>0</v>
      </c>
      <c r="CU68">
        <f>IFERROR(VLOOKUP(CU$6,Hoja1!$F$2:$XFD$61,AM68+4,FALSE),0)</f>
        <v>0</v>
      </c>
      <c r="CV68">
        <f>IFERROR(VLOOKUP(CV$6,Hoja1!$F$2:$XFD$61,AN68+4,FALSE),0)</f>
        <v>0</v>
      </c>
      <c r="CW68">
        <f>IFERROR(VLOOKUP(CW$6,Hoja1!$F$2:$XFD$61,AO68+4,FALSE),0)</f>
        <v>0</v>
      </c>
      <c r="CX68">
        <f>IFERROR(VLOOKUP(CX$6,Hoja1!$F$2:$XFD$61,AP68+4,FALSE),0)</f>
        <v>0</v>
      </c>
      <c r="CY68">
        <f>IFERROR(VLOOKUP(CY$6,Hoja1!$F$2:$XFD$61,AQ68+4,FALSE),0)</f>
        <v>0</v>
      </c>
      <c r="CZ68">
        <f>IFERROR(VLOOKUP(CZ$6,Hoja1!$F$2:$XFD$61,AR68+4,FALSE),0)</f>
        <v>0</v>
      </c>
      <c r="DA68">
        <f>IFERROR(VLOOKUP(DA$6,Hoja1!$F$2:$XFD$61,AS68+4,FALSE),0)</f>
        <v>0</v>
      </c>
      <c r="DB68">
        <f>IFERROR(VLOOKUP(DB$6,Hoja1!$F$2:$XFD$61,AT68+4,FALSE),0)</f>
        <v>0</v>
      </c>
      <c r="DC68">
        <f>IFERROR(VLOOKUP(DC$6,Hoja1!$F$2:$XFD$61,AU68+4,FALSE),0)</f>
        <v>0</v>
      </c>
      <c r="DD68">
        <f>IFERROR(VLOOKUP(DD$6,Hoja1!$F$2:$XFD$61,AV68+4,FALSE),0)</f>
        <v>0</v>
      </c>
      <c r="DE68">
        <f>IFERROR(VLOOKUP(DE$6,Hoja1!$F$2:$XFD$61,AW68+4,FALSE),0)</f>
        <v>0</v>
      </c>
      <c r="DF68">
        <f>IFERROR(VLOOKUP(DF$6,Hoja1!$F$2:$XFD$61,AX68+4,FALSE),0)</f>
        <v>0</v>
      </c>
      <c r="DG68">
        <f>IFERROR(VLOOKUP(DG$6,Hoja1!$F$2:$XFD$61,AY68+4,FALSE),0)</f>
        <v>0</v>
      </c>
      <c r="DH68">
        <f>IFERROR(VLOOKUP(DH$6,Hoja1!$F$2:$XFD$61,AZ68+4,FALSE),0)</f>
        <v>0</v>
      </c>
      <c r="DI68">
        <f>IFERROR(VLOOKUP(DI$6,Hoja1!$F$2:$XFD$61,BA68+4,FALSE),0)</f>
        <v>0</v>
      </c>
      <c r="DJ68">
        <f>IFERROR(VLOOKUP(DJ$6,Hoja1!$F$2:$XFD$61,BB68+4,FALSE),0)</f>
        <v>0</v>
      </c>
      <c r="DK68">
        <f>IFERROR(VLOOKUP(DK$6,Hoja1!$F$2:$XFD$61,BC68+4,FALSE),0)</f>
        <v>0</v>
      </c>
      <c r="DL68">
        <f>IFERROR(VLOOKUP(DL$6,Hoja1!$F$2:$XFD$61,BD68+4,FALSE),0)</f>
        <v>0</v>
      </c>
      <c r="DM68">
        <f>IFERROR(VLOOKUP(DM$6,Hoja1!$F$2:$XFD$61,BE68+4,FALSE),0)</f>
        <v>0</v>
      </c>
      <c r="DN68">
        <f>IFERROR(VLOOKUP(DN$6,Hoja1!$F$2:$XFD$61,BF68+4,FALSE),0)</f>
        <v>0</v>
      </c>
      <c r="DO68">
        <f>IFERROR(VLOOKUP(DO$6,Hoja1!$F$2:$XFD$61,BG68+4,FALSE),0)</f>
        <v>0</v>
      </c>
      <c r="DP68">
        <f>IFERROR(VLOOKUP(DP$6,Hoja1!$F$2:$XFD$61,BH68+4,FALSE),0)</f>
        <v>0</v>
      </c>
      <c r="DQ68">
        <f>IFERROR(VLOOKUP(DQ$6,Hoja1!$F$2:$XFD$61,BI68+4,FALSE),0)</f>
        <v>0</v>
      </c>
      <c r="DR68">
        <f>IFERROR(VLOOKUP(DR$6,Hoja1!$F$2:$XFD$61,BJ68+4,FALSE),0)</f>
        <v>0</v>
      </c>
      <c r="DS68">
        <f>IFERROR(VLOOKUP(DS$6,Hoja1!$F$2:$XFD$61,BK68+4,FALSE),0)</f>
        <v>0</v>
      </c>
      <c r="DT68">
        <f>IFERROR(VLOOKUP(DT$6,Hoja1!$F$2:$XFD$61,BL68+4,FALSE),0)</f>
        <v>0</v>
      </c>
      <c r="DU68" s="15" t="str">
        <f t="shared" si="0"/>
        <v/>
      </c>
      <c r="DV68" s="16" t="str">
        <f>IF(D68&lt;&gt;"",IF(DU68="","",IF(DU68&gt;=$DU$7*Hoja1!$E$2,4+3/($DU$7*(1-Hoja1!$E$2))*(DU68-$DU$7*Hoja1!$E$2),1+3/($DU$7*Hoja1!$E$2)*DU68)),DU68)</f>
        <v/>
      </c>
      <c r="DW68" s="47" t="b">
        <v>0</v>
      </c>
    </row>
    <row r="69" spans="1:127" ht="23.25" customHeight="1" thickBot="1" x14ac:dyDescent="0.3">
      <c r="A69" s="30">
        <v>60</v>
      </c>
      <c r="B69" s="31"/>
      <c r="C69" s="31"/>
      <c r="D69" s="32"/>
      <c r="E69" s="28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  <c r="Z69" s="19"/>
      <c r="AA69" s="19"/>
      <c r="AB69" s="19"/>
      <c r="AC69" s="19"/>
      <c r="AD69" s="19"/>
      <c r="AE69" s="19"/>
      <c r="AF69" s="19"/>
      <c r="AG69" s="19"/>
      <c r="AH69" s="19"/>
      <c r="AI69" s="19"/>
      <c r="AJ69" s="19"/>
      <c r="AK69" s="19"/>
      <c r="AL69" s="19"/>
      <c r="AM69" s="19"/>
      <c r="AN69" s="19"/>
      <c r="AO69" s="19"/>
      <c r="AP69" s="19"/>
      <c r="AQ69" s="19"/>
      <c r="AR69" s="19"/>
      <c r="AS69" s="19"/>
      <c r="AT69" s="19"/>
      <c r="AU69" s="19"/>
      <c r="AV69" s="19"/>
      <c r="AW69" s="19"/>
      <c r="AX69" s="19"/>
      <c r="AY69" s="19"/>
      <c r="AZ69" s="19"/>
      <c r="BA69" s="19"/>
      <c r="BB69" s="19"/>
      <c r="BC69" s="19"/>
      <c r="BD69" s="19"/>
      <c r="BE69" s="19"/>
      <c r="BF69" s="19"/>
      <c r="BG69" s="19"/>
      <c r="BH69" s="19"/>
      <c r="BI69" s="19"/>
      <c r="BJ69" s="19"/>
      <c r="BK69" s="19"/>
      <c r="BL69" s="29"/>
      <c r="BM69">
        <f>IFERROR(VLOOKUP(BM$6,Hoja1!$F$2:$XFD$61,E69+4,FALSE),0)</f>
        <v>0</v>
      </c>
      <c r="BN69">
        <f>IFERROR(VLOOKUP(BN$6,Hoja1!$F$2:$XFD$61,F69+4,FALSE),0)</f>
        <v>0</v>
      </c>
      <c r="BO69">
        <f>IFERROR(VLOOKUP(BO$6,Hoja1!$F$2:$XFD$61,G69+4,FALSE),0)</f>
        <v>0</v>
      </c>
      <c r="BP69">
        <f>IFERROR(VLOOKUP(BP$6,Hoja1!$F$2:$XFD$61,H69+4,FALSE),0)</f>
        <v>0</v>
      </c>
      <c r="BQ69">
        <f>IFERROR(VLOOKUP(BQ$6,Hoja1!$F$2:$XFD$61,I69+4,FALSE),0)</f>
        <v>0</v>
      </c>
      <c r="BR69">
        <f>IFERROR(VLOOKUP(BR$6,Hoja1!$F$2:$XFD$61,J69+4,FALSE),0)</f>
        <v>0</v>
      </c>
      <c r="BS69">
        <f>IFERROR(VLOOKUP(BS$6,Hoja1!$F$2:$XFD$61,K69+4,FALSE),0)</f>
        <v>0</v>
      </c>
      <c r="BT69">
        <f>IFERROR(VLOOKUP(BT$6,Hoja1!$F$2:$XFD$61,L69+4,FALSE),0)</f>
        <v>0</v>
      </c>
      <c r="BU69">
        <f>IFERROR(VLOOKUP(BU$6,Hoja1!$F$2:$XFD$61,M69+4,FALSE),0)</f>
        <v>0</v>
      </c>
      <c r="BV69">
        <f>IFERROR(VLOOKUP(BV$6,Hoja1!$F$2:$XFD$61,N69+4,FALSE),0)</f>
        <v>0</v>
      </c>
      <c r="BW69">
        <f>IFERROR(VLOOKUP(BW$6,Hoja1!$F$2:$XFD$61,O69+4,FALSE),0)</f>
        <v>0</v>
      </c>
      <c r="BX69">
        <f>IFERROR(VLOOKUP(BX$6,Hoja1!$F$2:$XFD$61,P69+4,FALSE),0)</f>
        <v>0</v>
      </c>
      <c r="BY69">
        <f>IFERROR(VLOOKUP(BY$6,Hoja1!$F$2:$XFD$61,Q69+4,FALSE),0)</f>
        <v>0</v>
      </c>
      <c r="BZ69">
        <f>IFERROR(VLOOKUP(BZ$6,Hoja1!$F$2:$XFD$61,R69+4,FALSE),0)</f>
        <v>0</v>
      </c>
      <c r="CA69">
        <f>IFERROR(VLOOKUP(CA$6,Hoja1!$F$2:$XFD$61,S69+4,FALSE),0)</f>
        <v>0</v>
      </c>
      <c r="CB69">
        <f>IFERROR(VLOOKUP(CB$6,Hoja1!$F$2:$XFD$61,T69+4,FALSE),0)</f>
        <v>0</v>
      </c>
      <c r="CC69">
        <f>IFERROR(VLOOKUP(CC$6,Hoja1!$F$2:$XFD$61,U69+4,FALSE),0)</f>
        <v>0</v>
      </c>
      <c r="CD69">
        <f>IFERROR(VLOOKUP(CD$6,Hoja1!$F$2:$XFD$61,V69+4,FALSE),0)</f>
        <v>0</v>
      </c>
      <c r="CE69">
        <f>IFERROR(VLOOKUP(CE$6,Hoja1!$F$2:$XFD$61,W69+4,FALSE),0)</f>
        <v>0</v>
      </c>
      <c r="CF69">
        <f>IFERROR(VLOOKUP(CF$6,Hoja1!$F$2:$XFD$61,X69+4,FALSE),0)</f>
        <v>0</v>
      </c>
      <c r="CG69">
        <f>IFERROR(VLOOKUP(CG$6,Hoja1!$F$2:$XFD$61,Y69+4,FALSE),0)</f>
        <v>0</v>
      </c>
      <c r="CH69">
        <f>IFERROR(VLOOKUP(CH$6,Hoja1!$F$2:$XFD$61,Z69+4,FALSE),0)</f>
        <v>0</v>
      </c>
      <c r="CI69">
        <f>IFERROR(VLOOKUP(CI$6,Hoja1!$F$2:$XFD$61,AA69+4,FALSE),0)</f>
        <v>0</v>
      </c>
      <c r="CJ69">
        <f>IFERROR(VLOOKUP(CJ$6,Hoja1!$F$2:$XFD$61,AB69+4,FALSE),0)</f>
        <v>0</v>
      </c>
      <c r="CK69">
        <f>IFERROR(VLOOKUP(CK$6,Hoja1!$F$2:$XFD$61,AC69+4,FALSE),0)</f>
        <v>0</v>
      </c>
      <c r="CL69">
        <f>IFERROR(VLOOKUP(CL$6,Hoja1!$F$2:$XFD$61,AD69+4,FALSE),0)</f>
        <v>0</v>
      </c>
      <c r="CM69">
        <f>IFERROR(VLOOKUP(CM$6,Hoja1!$F$2:$XFD$61,AE69+4,FALSE),0)</f>
        <v>0</v>
      </c>
      <c r="CN69">
        <f>IFERROR(VLOOKUP(CN$6,Hoja1!$F$2:$XFD$61,AF69+4,FALSE),0)</f>
        <v>0</v>
      </c>
      <c r="CO69">
        <f>IFERROR(VLOOKUP(CO$6,Hoja1!$F$2:$XFD$61,AG69+4,FALSE),0)</f>
        <v>0</v>
      </c>
      <c r="CP69">
        <f>IFERROR(VLOOKUP(CP$6,Hoja1!$F$2:$XFD$61,AH69+4,FALSE),0)</f>
        <v>0</v>
      </c>
      <c r="CQ69">
        <f>IFERROR(VLOOKUP(CQ$6,Hoja1!$F$2:$XFD$61,AI69+4,FALSE),0)</f>
        <v>0</v>
      </c>
      <c r="CR69">
        <f>IFERROR(VLOOKUP(CR$6,Hoja1!$F$2:$XFD$61,AJ69+4,FALSE),0)</f>
        <v>0</v>
      </c>
      <c r="CS69">
        <f>IFERROR(VLOOKUP(CS$6,Hoja1!$F$2:$XFD$61,AK69+4,FALSE),0)</f>
        <v>0</v>
      </c>
      <c r="CT69">
        <f>IFERROR(VLOOKUP(CT$6,Hoja1!$F$2:$XFD$61,AL69+4,FALSE),0)</f>
        <v>0</v>
      </c>
      <c r="CU69">
        <f>IFERROR(VLOOKUP(CU$6,Hoja1!$F$2:$XFD$61,AM69+4,FALSE),0)</f>
        <v>0</v>
      </c>
      <c r="CV69">
        <f>IFERROR(VLOOKUP(CV$6,Hoja1!$F$2:$XFD$61,AN69+4,FALSE),0)</f>
        <v>0</v>
      </c>
      <c r="CW69">
        <f>IFERROR(VLOOKUP(CW$6,Hoja1!$F$2:$XFD$61,AO69+4,FALSE),0)</f>
        <v>0</v>
      </c>
      <c r="CX69">
        <f>IFERROR(VLOOKUP(CX$6,Hoja1!$F$2:$XFD$61,AP69+4,FALSE),0)</f>
        <v>0</v>
      </c>
      <c r="CY69">
        <f>IFERROR(VLOOKUP(CY$6,Hoja1!$F$2:$XFD$61,AQ69+4,FALSE),0)</f>
        <v>0</v>
      </c>
      <c r="CZ69">
        <f>IFERROR(VLOOKUP(CZ$6,Hoja1!$F$2:$XFD$61,AR69+4,FALSE),0)</f>
        <v>0</v>
      </c>
      <c r="DA69">
        <f>IFERROR(VLOOKUP(DA$6,Hoja1!$F$2:$XFD$61,AS69+4,FALSE),0)</f>
        <v>0</v>
      </c>
      <c r="DB69">
        <f>IFERROR(VLOOKUP(DB$6,Hoja1!$F$2:$XFD$61,AT69+4,FALSE),0)</f>
        <v>0</v>
      </c>
      <c r="DC69">
        <f>IFERROR(VLOOKUP(DC$6,Hoja1!$F$2:$XFD$61,AU69+4,FALSE),0)</f>
        <v>0</v>
      </c>
      <c r="DD69">
        <f>IFERROR(VLOOKUP(DD$6,Hoja1!$F$2:$XFD$61,AV69+4,FALSE),0)</f>
        <v>0</v>
      </c>
      <c r="DE69">
        <f>IFERROR(VLOOKUP(DE$6,Hoja1!$F$2:$XFD$61,AW69+4,FALSE),0)</f>
        <v>0</v>
      </c>
      <c r="DF69">
        <f>IFERROR(VLOOKUP(DF$6,Hoja1!$F$2:$XFD$61,AX69+4,FALSE),0)</f>
        <v>0</v>
      </c>
      <c r="DG69">
        <f>IFERROR(VLOOKUP(DG$6,Hoja1!$F$2:$XFD$61,AY69+4,FALSE),0)</f>
        <v>0</v>
      </c>
      <c r="DH69">
        <f>IFERROR(VLOOKUP(DH$6,Hoja1!$F$2:$XFD$61,AZ69+4,FALSE),0)</f>
        <v>0</v>
      </c>
      <c r="DI69">
        <f>IFERROR(VLOOKUP(DI$6,Hoja1!$F$2:$XFD$61,BA69+4,FALSE),0)</f>
        <v>0</v>
      </c>
      <c r="DJ69">
        <f>IFERROR(VLOOKUP(DJ$6,Hoja1!$F$2:$XFD$61,BB69+4,FALSE),0)</f>
        <v>0</v>
      </c>
      <c r="DK69">
        <f>IFERROR(VLOOKUP(DK$6,Hoja1!$F$2:$XFD$61,BC69+4,FALSE),0)</f>
        <v>0</v>
      </c>
      <c r="DL69">
        <f>IFERROR(VLOOKUP(DL$6,Hoja1!$F$2:$XFD$61,BD69+4,FALSE),0)</f>
        <v>0</v>
      </c>
      <c r="DM69">
        <f>IFERROR(VLOOKUP(DM$6,Hoja1!$F$2:$XFD$61,BE69+4,FALSE),0)</f>
        <v>0</v>
      </c>
      <c r="DN69">
        <f>IFERROR(VLOOKUP(DN$6,Hoja1!$F$2:$XFD$61,BF69+4,FALSE),0)</f>
        <v>0</v>
      </c>
      <c r="DO69">
        <f>IFERROR(VLOOKUP(DO$6,Hoja1!$F$2:$XFD$61,BG69+4,FALSE),0)</f>
        <v>0</v>
      </c>
      <c r="DP69">
        <f>IFERROR(VLOOKUP(DP$6,Hoja1!$F$2:$XFD$61,BH69+4,FALSE),0)</f>
        <v>0</v>
      </c>
      <c r="DQ69">
        <f>IFERROR(VLOOKUP(DQ$6,Hoja1!$F$2:$XFD$61,BI69+4,FALSE),0)</f>
        <v>0</v>
      </c>
      <c r="DR69">
        <f>IFERROR(VLOOKUP(DR$6,Hoja1!$F$2:$XFD$61,BJ69+4,FALSE),0)</f>
        <v>0</v>
      </c>
      <c r="DS69">
        <f>IFERROR(VLOOKUP(DS$6,Hoja1!$F$2:$XFD$61,BK69+4,FALSE),0)</f>
        <v>0</v>
      </c>
      <c r="DT69">
        <f>IFERROR(VLOOKUP(DT$6,Hoja1!$F$2:$XFD$61,BL69+4,FALSE),0)</f>
        <v>0</v>
      </c>
      <c r="DU69" s="15" t="str">
        <f t="shared" si="0"/>
        <v/>
      </c>
      <c r="DV69" s="33" t="str">
        <f>IF(D69&lt;&gt;"",IF(DU69="","",IF(DU69&gt;=$DU$7*Hoja1!$E$2,4+3/($DU$7*(1-Hoja1!$E$2))*(DU69-$DU$7*Hoja1!$E$2),1+3/($DU$7*Hoja1!$E$2)*DU69)),DU69)</f>
        <v/>
      </c>
      <c r="DW69" s="48" t="b">
        <v>0</v>
      </c>
    </row>
    <row r="70" spans="1:127" ht="8.25" customHeight="1" thickTop="1" x14ac:dyDescent="0.25">
      <c r="A70" s="34"/>
      <c r="B70" s="35"/>
      <c r="C70" s="35"/>
      <c r="D70" s="34"/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D70" s="35"/>
      <c r="AE70" s="35"/>
      <c r="AF70" s="35"/>
      <c r="AG70" s="35"/>
      <c r="AH70" s="35"/>
      <c r="AI70" s="35"/>
      <c r="AJ70" s="35"/>
      <c r="AK70" s="35"/>
      <c r="AL70" s="35"/>
      <c r="AM70" s="35"/>
      <c r="AN70" s="35"/>
      <c r="AO70" s="35"/>
      <c r="AP70" s="35"/>
      <c r="AQ70" s="35"/>
      <c r="AR70" s="35"/>
      <c r="AS70" s="35"/>
      <c r="AT70" s="35"/>
      <c r="AU70" s="35"/>
      <c r="AV70" s="35"/>
      <c r="AW70" s="35"/>
      <c r="AX70" s="35"/>
      <c r="AY70" s="35"/>
      <c r="AZ70" s="35"/>
      <c r="BA70" s="35"/>
      <c r="BB70" s="35"/>
      <c r="BC70" s="35"/>
      <c r="BD70" s="35"/>
      <c r="BE70" s="35"/>
      <c r="BF70" s="35"/>
      <c r="BG70" s="35"/>
      <c r="BH70" s="35"/>
      <c r="BI70" s="35"/>
      <c r="BJ70" s="35"/>
      <c r="BK70" s="35"/>
      <c r="BL70" s="35"/>
      <c r="BM70" s="35"/>
      <c r="BN70" s="35"/>
      <c r="BO70" s="35"/>
      <c r="BP70" s="35"/>
      <c r="BQ70" s="35"/>
      <c r="BR70" s="35"/>
      <c r="BS70" s="35"/>
      <c r="BT70" s="35"/>
      <c r="BU70" s="35"/>
      <c r="BV70" s="35"/>
      <c r="BW70" s="35"/>
      <c r="BX70" s="35"/>
      <c r="BY70" s="35"/>
      <c r="BZ70" s="35"/>
      <c r="CA70" s="35"/>
      <c r="CB70" s="35"/>
      <c r="CC70" s="35"/>
      <c r="CD70" s="35"/>
      <c r="CE70" s="35"/>
      <c r="CF70" s="35"/>
      <c r="CG70" s="35"/>
      <c r="CH70" s="35"/>
      <c r="CI70" s="35"/>
      <c r="CJ70" s="35"/>
      <c r="CK70" s="35"/>
      <c r="CL70" s="35"/>
      <c r="CM70" s="35"/>
      <c r="CN70" s="35"/>
      <c r="CO70" s="35"/>
      <c r="CP70" s="35"/>
      <c r="CQ70" s="35"/>
      <c r="CR70" s="35"/>
      <c r="CS70" s="35"/>
      <c r="CT70" s="35"/>
      <c r="CU70" s="35"/>
      <c r="CV70" s="35"/>
      <c r="CW70" s="35"/>
      <c r="CX70" s="35"/>
      <c r="CY70" s="35"/>
      <c r="CZ70" s="35"/>
      <c r="DA70" s="35"/>
      <c r="DB70" s="35"/>
      <c r="DC70" s="35"/>
      <c r="DD70" s="35"/>
      <c r="DE70" s="35"/>
      <c r="DF70" s="35"/>
      <c r="DG70" s="35"/>
      <c r="DH70" s="35"/>
      <c r="DI70" s="35"/>
      <c r="DJ70" s="35"/>
      <c r="DK70" s="35"/>
      <c r="DL70" s="35"/>
      <c r="DM70" s="35"/>
      <c r="DN70" s="35"/>
      <c r="DO70" s="35"/>
      <c r="DP70" s="35"/>
      <c r="DQ70" s="35"/>
      <c r="DR70" s="35"/>
      <c r="DS70" s="35"/>
      <c r="DT70" s="35"/>
      <c r="DU70" s="35"/>
      <c r="DV70" s="35"/>
    </row>
  </sheetData>
  <sheetProtection selectLockedCells="1"/>
  <sortState xmlns:xlrd2="http://schemas.microsoft.com/office/spreadsheetml/2017/richdata2" ref="B10:D21">
    <sortCondition ref="D10:D21"/>
  </sortState>
  <dataConsolidate/>
  <mergeCells count="2">
    <mergeCell ref="C8:D8"/>
    <mergeCell ref="C7:D7"/>
  </mergeCells>
  <conditionalFormatting sqref="F7 F9">
    <cfRule type="expression" dxfId="8" priority="24">
      <formula>IF(MOD(F$8,2)=0,TRUE,FALSE)</formula>
    </cfRule>
  </conditionalFormatting>
  <conditionalFormatting sqref="E7 E9">
    <cfRule type="expression" dxfId="7" priority="22">
      <formula>IF(MOD(E$8,2)=0,TRUE,FALSE)</formula>
    </cfRule>
  </conditionalFormatting>
  <conditionalFormatting sqref="G7:BL7 G9:BL9">
    <cfRule type="expression" dxfId="6" priority="21">
      <formula>IF(MOD(G$8,2)=0,TRUE,FALSE)</formula>
    </cfRule>
  </conditionalFormatting>
  <conditionalFormatting sqref="E8:BL8">
    <cfRule type="expression" dxfId="5" priority="20">
      <formula>IF(MOD(E$8,2)=0,TRUE,FALSE)</formula>
    </cfRule>
  </conditionalFormatting>
  <conditionalFormatting sqref="E10:BL69">
    <cfRule type="expression" dxfId="4" priority="3">
      <formula>IF(MOD(E$8,2)=0,TRUE,FALSE)</formula>
    </cfRule>
  </conditionalFormatting>
  <conditionalFormatting sqref="E9:BL9">
    <cfRule type="cellIs" dxfId="3" priority="2" operator="equal">
      <formula>""</formula>
    </cfRule>
  </conditionalFormatting>
  <conditionalFormatting sqref="DV10:DV69">
    <cfRule type="cellIs" dxfId="2" priority="1" operator="lessThan">
      <formula>3.95</formula>
    </cfRule>
  </conditionalFormatting>
  <dataValidations count="1">
    <dataValidation type="whole" allowBlank="1" showDropDown="1" showInputMessage="1" showErrorMessage="1" sqref="D10:D69" xr:uid="{00000000-0002-0000-0000-000000000000}">
      <formula1>1</formula1>
      <formula2>15</formula2>
    </dataValidation>
  </dataValidations>
  <pageMargins left="0.70866141732283472" right="0.70866141732283472" top="0.74803149606299213" bottom="0.74803149606299213" header="0.31496062992125984" footer="0.31496062992125984"/>
  <pageSetup scale="2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01" r:id="rId4" name="Button 53">
              <controlPr defaultSize="0" print="0" autoFill="0" autoPict="0" macro="[0]!Hoja1.ordena">
                <anchor moveWithCells="1" sizeWithCells="1">
                  <from>
                    <xdr:col>2</xdr:col>
                    <xdr:colOff>200025</xdr:colOff>
                    <xdr:row>1</xdr:row>
                    <xdr:rowOff>180975</xdr:rowOff>
                  </from>
                  <to>
                    <xdr:col>3</xdr:col>
                    <xdr:colOff>381000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" name="Check Box 121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9</xdr:row>
                    <xdr:rowOff>28575</xdr:rowOff>
                  </from>
                  <to>
                    <xdr:col>126</xdr:col>
                    <xdr:colOff>400050</xdr:colOff>
                    <xdr:row>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6" name="Check Box 122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10</xdr:row>
                    <xdr:rowOff>28575</xdr:rowOff>
                  </from>
                  <to>
                    <xdr:col>126</xdr:col>
                    <xdr:colOff>400050</xdr:colOff>
                    <xdr:row>10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7" name="Check Box 123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11</xdr:row>
                    <xdr:rowOff>28575</xdr:rowOff>
                  </from>
                  <to>
                    <xdr:col>126</xdr:col>
                    <xdr:colOff>400050</xdr:colOff>
                    <xdr:row>11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8" name="Check Box 124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12</xdr:row>
                    <xdr:rowOff>28575</xdr:rowOff>
                  </from>
                  <to>
                    <xdr:col>126</xdr:col>
                    <xdr:colOff>400050</xdr:colOff>
                    <xdr:row>12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9" name="Check Box 125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13</xdr:row>
                    <xdr:rowOff>28575</xdr:rowOff>
                  </from>
                  <to>
                    <xdr:col>126</xdr:col>
                    <xdr:colOff>400050</xdr:colOff>
                    <xdr:row>13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10" name="Check Box 126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14</xdr:row>
                    <xdr:rowOff>28575</xdr:rowOff>
                  </from>
                  <to>
                    <xdr:col>126</xdr:col>
                    <xdr:colOff>400050</xdr:colOff>
                    <xdr:row>14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11" name="Check Box 127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15</xdr:row>
                    <xdr:rowOff>28575</xdr:rowOff>
                  </from>
                  <to>
                    <xdr:col>126</xdr:col>
                    <xdr:colOff>400050</xdr:colOff>
                    <xdr:row>15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12" name="Check Box 128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16</xdr:row>
                    <xdr:rowOff>28575</xdr:rowOff>
                  </from>
                  <to>
                    <xdr:col>126</xdr:col>
                    <xdr:colOff>400050</xdr:colOff>
                    <xdr:row>16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13" name="Check Box 129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17</xdr:row>
                    <xdr:rowOff>28575</xdr:rowOff>
                  </from>
                  <to>
                    <xdr:col>126</xdr:col>
                    <xdr:colOff>400050</xdr:colOff>
                    <xdr:row>17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14" name="Check Box 130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18</xdr:row>
                    <xdr:rowOff>28575</xdr:rowOff>
                  </from>
                  <to>
                    <xdr:col>126</xdr:col>
                    <xdr:colOff>400050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15" name="Check Box 131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19</xdr:row>
                    <xdr:rowOff>28575</xdr:rowOff>
                  </from>
                  <to>
                    <xdr:col>126</xdr:col>
                    <xdr:colOff>400050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16" name="Check Box 132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20</xdr:row>
                    <xdr:rowOff>28575</xdr:rowOff>
                  </from>
                  <to>
                    <xdr:col>126</xdr:col>
                    <xdr:colOff>400050</xdr:colOff>
                    <xdr:row>20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17" name="Check Box 133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21</xdr:row>
                    <xdr:rowOff>28575</xdr:rowOff>
                  </from>
                  <to>
                    <xdr:col>126</xdr:col>
                    <xdr:colOff>400050</xdr:colOff>
                    <xdr:row>21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18" name="Check Box 134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22</xdr:row>
                    <xdr:rowOff>28575</xdr:rowOff>
                  </from>
                  <to>
                    <xdr:col>126</xdr:col>
                    <xdr:colOff>400050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19" name="Check Box 135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23</xdr:row>
                    <xdr:rowOff>28575</xdr:rowOff>
                  </from>
                  <to>
                    <xdr:col>126</xdr:col>
                    <xdr:colOff>400050</xdr:colOff>
                    <xdr:row>23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20" name="Check Box 136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24</xdr:row>
                    <xdr:rowOff>28575</xdr:rowOff>
                  </from>
                  <to>
                    <xdr:col>126</xdr:col>
                    <xdr:colOff>400050</xdr:colOff>
                    <xdr:row>24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21" name="Check Box 137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25</xdr:row>
                    <xdr:rowOff>28575</xdr:rowOff>
                  </from>
                  <to>
                    <xdr:col>126</xdr:col>
                    <xdr:colOff>400050</xdr:colOff>
                    <xdr:row>25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22" name="Check Box 138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26</xdr:row>
                    <xdr:rowOff>28575</xdr:rowOff>
                  </from>
                  <to>
                    <xdr:col>126</xdr:col>
                    <xdr:colOff>400050</xdr:colOff>
                    <xdr:row>26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23" name="Check Box 139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27</xdr:row>
                    <xdr:rowOff>28575</xdr:rowOff>
                  </from>
                  <to>
                    <xdr:col>126</xdr:col>
                    <xdr:colOff>400050</xdr:colOff>
                    <xdr:row>27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24" name="Check Box 140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28</xdr:row>
                    <xdr:rowOff>28575</xdr:rowOff>
                  </from>
                  <to>
                    <xdr:col>126</xdr:col>
                    <xdr:colOff>400050</xdr:colOff>
                    <xdr:row>28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25" name="Check Box 141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29</xdr:row>
                    <xdr:rowOff>28575</xdr:rowOff>
                  </from>
                  <to>
                    <xdr:col>126</xdr:col>
                    <xdr:colOff>400050</xdr:colOff>
                    <xdr:row>29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26" name="Check Box 142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30</xdr:row>
                    <xdr:rowOff>28575</xdr:rowOff>
                  </from>
                  <to>
                    <xdr:col>126</xdr:col>
                    <xdr:colOff>400050</xdr:colOff>
                    <xdr:row>30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27" name="Check Box 143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31</xdr:row>
                    <xdr:rowOff>28575</xdr:rowOff>
                  </from>
                  <to>
                    <xdr:col>126</xdr:col>
                    <xdr:colOff>400050</xdr:colOff>
                    <xdr:row>31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28" name="Check Box 144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32</xdr:row>
                    <xdr:rowOff>28575</xdr:rowOff>
                  </from>
                  <to>
                    <xdr:col>126</xdr:col>
                    <xdr:colOff>400050</xdr:colOff>
                    <xdr:row>32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29" name="Check Box 145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33</xdr:row>
                    <xdr:rowOff>28575</xdr:rowOff>
                  </from>
                  <to>
                    <xdr:col>126</xdr:col>
                    <xdr:colOff>400050</xdr:colOff>
                    <xdr:row>33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30" name="Check Box 146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34</xdr:row>
                    <xdr:rowOff>28575</xdr:rowOff>
                  </from>
                  <to>
                    <xdr:col>126</xdr:col>
                    <xdr:colOff>400050</xdr:colOff>
                    <xdr:row>34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31" name="Check Box 147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35</xdr:row>
                    <xdr:rowOff>28575</xdr:rowOff>
                  </from>
                  <to>
                    <xdr:col>126</xdr:col>
                    <xdr:colOff>400050</xdr:colOff>
                    <xdr:row>35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32" name="Check Box 148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36</xdr:row>
                    <xdr:rowOff>28575</xdr:rowOff>
                  </from>
                  <to>
                    <xdr:col>126</xdr:col>
                    <xdr:colOff>400050</xdr:colOff>
                    <xdr:row>36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33" name="Check Box 149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37</xdr:row>
                    <xdr:rowOff>28575</xdr:rowOff>
                  </from>
                  <to>
                    <xdr:col>126</xdr:col>
                    <xdr:colOff>400050</xdr:colOff>
                    <xdr:row>37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34" name="Check Box 150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38</xdr:row>
                    <xdr:rowOff>28575</xdr:rowOff>
                  </from>
                  <to>
                    <xdr:col>126</xdr:col>
                    <xdr:colOff>400050</xdr:colOff>
                    <xdr:row>38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35" name="Check Box 151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39</xdr:row>
                    <xdr:rowOff>28575</xdr:rowOff>
                  </from>
                  <to>
                    <xdr:col>126</xdr:col>
                    <xdr:colOff>400050</xdr:colOff>
                    <xdr:row>39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36" name="Check Box 152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40</xdr:row>
                    <xdr:rowOff>28575</xdr:rowOff>
                  </from>
                  <to>
                    <xdr:col>126</xdr:col>
                    <xdr:colOff>400050</xdr:colOff>
                    <xdr:row>40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37" name="Check Box 153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41</xdr:row>
                    <xdr:rowOff>28575</xdr:rowOff>
                  </from>
                  <to>
                    <xdr:col>126</xdr:col>
                    <xdr:colOff>400050</xdr:colOff>
                    <xdr:row>41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38" name="Check Box 154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42</xdr:row>
                    <xdr:rowOff>28575</xdr:rowOff>
                  </from>
                  <to>
                    <xdr:col>126</xdr:col>
                    <xdr:colOff>400050</xdr:colOff>
                    <xdr:row>42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39" name="Check Box 155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43</xdr:row>
                    <xdr:rowOff>28575</xdr:rowOff>
                  </from>
                  <to>
                    <xdr:col>126</xdr:col>
                    <xdr:colOff>400050</xdr:colOff>
                    <xdr:row>43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40" name="Check Box 156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44</xdr:row>
                    <xdr:rowOff>28575</xdr:rowOff>
                  </from>
                  <to>
                    <xdr:col>126</xdr:col>
                    <xdr:colOff>400050</xdr:colOff>
                    <xdr:row>44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41" name="Check Box 157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45</xdr:row>
                    <xdr:rowOff>28575</xdr:rowOff>
                  </from>
                  <to>
                    <xdr:col>126</xdr:col>
                    <xdr:colOff>400050</xdr:colOff>
                    <xdr:row>45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" r:id="rId42" name="Check Box 158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46</xdr:row>
                    <xdr:rowOff>28575</xdr:rowOff>
                  </from>
                  <to>
                    <xdr:col>126</xdr:col>
                    <xdr:colOff>400050</xdr:colOff>
                    <xdr:row>46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" r:id="rId43" name="Check Box 159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47</xdr:row>
                    <xdr:rowOff>28575</xdr:rowOff>
                  </from>
                  <to>
                    <xdr:col>126</xdr:col>
                    <xdr:colOff>400050</xdr:colOff>
                    <xdr:row>47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" r:id="rId44" name="Check Box 160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48</xdr:row>
                    <xdr:rowOff>28575</xdr:rowOff>
                  </from>
                  <to>
                    <xdr:col>126</xdr:col>
                    <xdr:colOff>400050</xdr:colOff>
                    <xdr:row>48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" r:id="rId45" name="Check Box 161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49</xdr:row>
                    <xdr:rowOff>28575</xdr:rowOff>
                  </from>
                  <to>
                    <xdr:col>126</xdr:col>
                    <xdr:colOff>400050</xdr:colOff>
                    <xdr:row>49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0" r:id="rId46" name="Check Box 162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50</xdr:row>
                    <xdr:rowOff>28575</xdr:rowOff>
                  </from>
                  <to>
                    <xdr:col>126</xdr:col>
                    <xdr:colOff>400050</xdr:colOff>
                    <xdr:row>50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" r:id="rId47" name="Check Box 163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51</xdr:row>
                    <xdr:rowOff>28575</xdr:rowOff>
                  </from>
                  <to>
                    <xdr:col>126</xdr:col>
                    <xdr:colOff>400050</xdr:colOff>
                    <xdr:row>51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" r:id="rId48" name="Check Box 164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52</xdr:row>
                    <xdr:rowOff>28575</xdr:rowOff>
                  </from>
                  <to>
                    <xdr:col>126</xdr:col>
                    <xdr:colOff>400050</xdr:colOff>
                    <xdr:row>52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3" r:id="rId49" name="Check Box 165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53</xdr:row>
                    <xdr:rowOff>28575</xdr:rowOff>
                  </from>
                  <to>
                    <xdr:col>126</xdr:col>
                    <xdr:colOff>400050</xdr:colOff>
                    <xdr:row>53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4" r:id="rId50" name="Check Box 166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54</xdr:row>
                    <xdr:rowOff>28575</xdr:rowOff>
                  </from>
                  <to>
                    <xdr:col>126</xdr:col>
                    <xdr:colOff>400050</xdr:colOff>
                    <xdr:row>54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5" r:id="rId51" name="Check Box 167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55</xdr:row>
                    <xdr:rowOff>28575</xdr:rowOff>
                  </from>
                  <to>
                    <xdr:col>126</xdr:col>
                    <xdr:colOff>400050</xdr:colOff>
                    <xdr:row>55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6" r:id="rId52" name="Check Box 168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56</xdr:row>
                    <xdr:rowOff>28575</xdr:rowOff>
                  </from>
                  <to>
                    <xdr:col>126</xdr:col>
                    <xdr:colOff>400050</xdr:colOff>
                    <xdr:row>56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7" r:id="rId53" name="Check Box 169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57</xdr:row>
                    <xdr:rowOff>28575</xdr:rowOff>
                  </from>
                  <to>
                    <xdr:col>126</xdr:col>
                    <xdr:colOff>400050</xdr:colOff>
                    <xdr:row>57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8" r:id="rId54" name="Check Box 170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58</xdr:row>
                    <xdr:rowOff>28575</xdr:rowOff>
                  </from>
                  <to>
                    <xdr:col>126</xdr:col>
                    <xdr:colOff>400050</xdr:colOff>
                    <xdr:row>58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9" r:id="rId55" name="Check Box 171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59</xdr:row>
                    <xdr:rowOff>28575</xdr:rowOff>
                  </from>
                  <to>
                    <xdr:col>126</xdr:col>
                    <xdr:colOff>400050</xdr:colOff>
                    <xdr:row>59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0" r:id="rId56" name="Check Box 172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60</xdr:row>
                    <xdr:rowOff>28575</xdr:rowOff>
                  </from>
                  <to>
                    <xdr:col>126</xdr:col>
                    <xdr:colOff>400050</xdr:colOff>
                    <xdr:row>60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1" r:id="rId57" name="Check Box 173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61</xdr:row>
                    <xdr:rowOff>28575</xdr:rowOff>
                  </from>
                  <to>
                    <xdr:col>126</xdr:col>
                    <xdr:colOff>400050</xdr:colOff>
                    <xdr:row>61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2" r:id="rId58" name="Check Box 174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62</xdr:row>
                    <xdr:rowOff>28575</xdr:rowOff>
                  </from>
                  <to>
                    <xdr:col>126</xdr:col>
                    <xdr:colOff>400050</xdr:colOff>
                    <xdr:row>62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3" r:id="rId59" name="Check Box 175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63</xdr:row>
                    <xdr:rowOff>28575</xdr:rowOff>
                  </from>
                  <to>
                    <xdr:col>126</xdr:col>
                    <xdr:colOff>400050</xdr:colOff>
                    <xdr:row>63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4" r:id="rId60" name="Check Box 176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64</xdr:row>
                    <xdr:rowOff>28575</xdr:rowOff>
                  </from>
                  <to>
                    <xdr:col>126</xdr:col>
                    <xdr:colOff>400050</xdr:colOff>
                    <xdr:row>64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5" r:id="rId61" name="Check Box 177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65</xdr:row>
                    <xdr:rowOff>28575</xdr:rowOff>
                  </from>
                  <to>
                    <xdr:col>126</xdr:col>
                    <xdr:colOff>400050</xdr:colOff>
                    <xdr:row>65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6" r:id="rId62" name="Check Box 178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66</xdr:row>
                    <xdr:rowOff>28575</xdr:rowOff>
                  </from>
                  <to>
                    <xdr:col>126</xdr:col>
                    <xdr:colOff>400050</xdr:colOff>
                    <xdr:row>66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7" r:id="rId63" name="Check Box 179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67</xdr:row>
                    <xdr:rowOff>28575</xdr:rowOff>
                  </from>
                  <to>
                    <xdr:col>126</xdr:col>
                    <xdr:colOff>400050</xdr:colOff>
                    <xdr:row>67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8" r:id="rId64" name="Check Box 180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68</xdr:row>
                    <xdr:rowOff>28575</xdr:rowOff>
                  </from>
                  <to>
                    <xdr:col>126</xdr:col>
                    <xdr:colOff>400050</xdr:colOff>
                    <xdr:row>68</xdr:row>
                    <xdr:rowOff>257175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allowBlank="1" showDropDown="1" showInputMessage="1" showErrorMessage="1" xr:uid="{00000000-0002-0000-0000-000001000000}">
          <x14:formula1>
            <xm:f>Hoja1!$J$62:$R$62</xm:f>
          </x14:formula1>
          <xm:sqref>E10:E69</xm:sqref>
        </x14:dataValidation>
        <x14:dataValidation type="list" allowBlank="1" showDropDown="1" showInputMessage="1" showErrorMessage="1" xr:uid="{00000000-0002-0000-0000-000002000000}">
          <x14:formula1>
            <xm:f>Hoja1!$J$63:$R$63</xm:f>
          </x14:formula1>
          <xm:sqref>F10:F69</xm:sqref>
        </x14:dataValidation>
        <x14:dataValidation type="list" allowBlank="1" showDropDown="1" showInputMessage="1" showErrorMessage="1" xr:uid="{00000000-0002-0000-0000-000003000000}">
          <x14:formula1>
            <xm:f>Hoja1!$J$64:$R$64</xm:f>
          </x14:formula1>
          <xm:sqref>G10:G69</xm:sqref>
        </x14:dataValidation>
        <x14:dataValidation type="list" allowBlank="1" showDropDown="1" showInputMessage="1" showErrorMessage="1" xr:uid="{00000000-0002-0000-0000-000004000000}">
          <x14:formula1>
            <xm:f>Hoja1!$J$65:$R$65</xm:f>
          </x14:formula1>
          <xm:sqref>H10:H69</xm:sqref>
        </x14:dataValidation>
        <x14:dataValidation type="list" allowBlank="1" showDropDown="1" showInputMessage="1" showErrorMessage="1" xr:uid="{00000000-0002-0000-0000-000005000000}">
          <x14:formula1>
            <xm:f>Hoja1!$J$66:$R$66</xm:f>
          </x14:formula1>
          <xm:sqref>I10:I69</xm:sqref>
        </x14:dataValidation>
        <x14:dataValidation type="list" allowBlank="1" showDropDown="1" showInputMessage="1" showErrorMessage="1" xr:uid="{00000000-0002-0000-0000-000006000000}">
          <x14:formula1>
            <xm:f>Hoja1!$J$67:$R$67</xm:f>
          </x14:formula1>
          <xm:sqref>J10:J69</xm:sqref>
        </x14:dataValidation>
        <x14:dataValidation type="list" allowBlank="1" showDropDown="1" showInputMessage="1" showErrorMessage="1" xr:uid="{00000000-0002-0000-0000-000007000000}">
          <x14:formula1>
            <xm:f>Hoja1!$J$68:$R$68</xm:f>
          </x14:formula1>
          <xm:sqref>K10:K69</xm:sqref>
        </x14:dataValidation>
        <x14:dataValidation type="list" allowBlank="1" showDropDown="1" showInputMessage="1" showErrorMessage="1" xr:uid="{00000000-0002-0000-0000-000008000000}">
          <x14:formula1>
            <xm:f>Hoja1!$J$69:$R$69</xm:f>
          </x14:formula1>
          <xm:sqref>L10:L69</xm:sqref>
        </x14:dataValidation>
        <x14:dataValidation type="list" allowBlank="1" showDropDown="1" showInputMessage="1" showErrorMessage="1" xr:uid="{00000000-0002-0000-0000-000009000000}">
          <x14:formula1>
            <xm:f>Hoja1!$J$70:$R$70</xm:f>
          </x14:formula1>
          <xm:sqref>M10:M69</xm:sqref>
        </x14:dataValidation>
        <x14:dataValidation type="list" allowBlank="1" showDropDown="1" showInputMessage="1" showErrorMessage="1" xr:uid="{00000000-0002-0000-0000-00000A000000}">
          <x14:formula1>
            <xm:f>Hoja1!$J$71:$R$71</xm:f>
          </x14:formula1>
          <xm:sqref>N10:N69</xm:sqref>
        </x14:dataValidation>
        <x14:dataValidation type="list" allowBlank="1" showDropDown="1" showInputMessage="1" showErrorMessage="1" xr:uid="{00000000-0002-0000-0000-00000B000000}">
          <x14:formula1>
            <xm:f>Hoja1!$J$72:$R$72</xm:f>
          </x14:formula1>
          <xm:sqref>O10:O69</xm:sqref>
        </x14:dataValidation>
        <x14:dataValidation type="list" allowBlank="1" showDropDown="1" showInputMessage="1" showErrorMessage="1" xr:uid="{00000000-0002-0000-0000-00000C000000}">
          <x14:formula1>
            <xm:f>Hoja1!$J$73:$R$73</xm:f>
          </x14:formula1>
          <xm:sqref>P10:P69</xm:sqref>
        </x14:dataValidation>
        <x14:dataValidation type="list" allowBlank="1" showDropDown="1" showInputMessage="1" showErrorMessage="1" xr:uid="{00000000-0002-0000-0000-00000D000000}">
          <x14:formula1>
            <xm:f>Hoja1!$J$74:$R$74</xm:f>
          </x14:formula1>
          <xm:sqref>Q10:Q69</xm:sqref>
        </x14:dataValidation>
        <x14:dataValidation type="list" allowBlank="1" showDropDown="1" showInputMessage="1" showErrorMessage="1" xr:uid="{00000000-0002-0000-0000-00000E000000}">
          <x14:formula1>
            <xm:f>Hoja1!$J$75:$R$75</xm:f>
          </x14:formula1>
          <xm:sqref>R10:R69</xm:sqref>
        </x14:dataValidation>
        <x14:dataValidation type="list" allowBlank="1" showDropDown="1" showInputMessage="1" showErrorMessage="1" xr:uid="{00000000-0002-0000-0000-00000F000000}">
          <x14:formula1>
            <xm:f>Hoja1!$J$76:$R$76</xm:f>
          </x14:formula1>
          <xm:sqref>S10:S69</xm:sqref>
        </x14:dataValidation>
        <x14:dataValidation type="list" allowBlank="1" showDropDown="1" showInputMessage="1" showErrorMessage="1" xr:uid="{00000000-0002-0000-0000-000010000000}">
          <x14:formula1>
            <xm:f>Hoja1!$J$77:$R$77</xm:f>
          </x14:formula1>
          <xm:sqref>T10:T69</xm:sqref>
        </x14:dataValidation>
        <x14:dataValidation type="list" allowBlank="1" showDropDown="1" showInputMessage="1" showErrorMessage="1" xr:uid="{00000000-0002-0000-0000-000011000000}">
          <x14:formula1>
            <xm:f>Hoja1!$J$78:$R$78</xm:f>
          </x14:formula1>
          <xm:sqref>U10:U69</xm:sqref>
        </x14:dataValidation>
        <x14:dataValidation type="list" allowBlank="1" showDropDown="1" showInputMessage="1" showErrorMessage="1" xr:uid="{00000000-0002-0000-0000-000012000000}">
          <x14:formula1>
            <xm:f>Hoja1!$J$79:$R$79</xm:f>
          </x14:formula1>
          <xm:sqref>V10:V69</xm:sqref>
        </x14:dataValidation>
        <x14:dataValidation type="list" allowBlank="1" showDropDown="1" showInputMessage="1" showErrorMessage="1" xr:uid="{00000000-0002-0000-0000-000013000000}">
          <x14:formula1>
            <xm:f>Hoja1!$J$80:$R$80</xm:f>
          </x14:formula1>
          <xm:sqref>W10:W69</xm:sqref>
        </x14:dataValidation>
        <x14:dataValidation type="list" allowBlank="1" showDropDown="1" showInputMessage="1" showErrorMessage="1" xr:uid="{00000000-0002-0000-0000-000014000000}">
          <x14:formula1>
            <xm:f>Hoja1!$J$81:$R$81</xm:f>
          </x14:formula1>
          <xm:sqref>X10:X69</xm:sqref>
        </x14:dataValidation>
        <x14:dataValidation type="list" allowBlank="1" showDropDown="1" showInputMessage="1" showErrorMessage="1" xr:uid="{00000000-0002-0000-0000-000015000000}">
          <x14:formula1>
            <xm:f>Hoja1!$J$82:$R$82</xm:f>
          </x14:formula1>
          <xm:sqref>Y10:Y69</xm:sqref>
        </x14:dataValidation>
        <x14:dataValidation type="list" allowBlank="1" showDropDown="1" showInputMessage="1" showErrorMessage="1" xr:uid="{00000000-0002-0000-0000-000016000000}">
          <x14:formula1>
            <xm:f>Hoja1!$J$83:$R$83</xm:f>
          </x14:formula1>
          <xm:sqref>Z10:Z69</xm:sqref>
        </x14:dataValidation>
        <x14:dataValidation type="list" allowBlank="1" showDropDown="1" showInputMessage="1" showErrorMessage="1" xr:uid="{00000000-0002-0000-0000-000017000000}">
          <x14:formula1>
            <xm:f>Hoja1!$J$84:$R$84</xm:f>
          </x14:formula1>
          <xm:sqref>AA10:AA69</xm:sqref>
        </x14:dataValidation>
        <x14:dataValidation type="list" allowBlank="1" showDropDown="1" showInputMessage="1" showErrorMessage="1" xr:uid="{00000000-0002-0000-0000-000018000000}">
          <x14:formula1>
            <xm:f>Hoja1!$J$85:$R$85</xm:f>
          </x14:formula1>
          <xm:sqref>AB10:AB69</xm:sqref>
        </x14:dataValidation>
        <x14:dataValidation type="list" allowBlank="1" showDropDown="1" showInputMessage="1" showErrorMessage="1" xr:uid="{00000000-0002-0000-0000-000019000000}">
          <x14:formula1>
            <xm:f>Hoja1!$J$86:$R$86</xm:f>
          </x14:formula1>
          <xm:sqref>AC10:AC69</xm:sqref>
        </x14:dataValidation>
        <x14:dataValidation type="list" allowBlank="1" showDropDown="1" showInputMessage="1" showErrorMessage="1" xr:uid="{00000000-0002-0000-0000-00001A000000}">
          <x14:formula1>
            <xm:f>Hoja1!$J$87:$R$87</xm:f>
          </x14:formula1>
          <xm:sqref>AD10:AD69</xm:sqref>
        </x14:dataValidation>
        <x14:dataValidation type="list" allowBlank="1" showDropDown="1" showInputMessage="1" showErrorMessage="1" xr:uid="{00000000-0002-0000-0000-00001B000000}">
          <x14:formula1>
            <xm:f>Hoja1!$J$88:$R$88</xm:f>
          </x14:formula1>
          <xm:sqref>AE10:AE69</xm:sqref>
        </x14:dataValidation>
        <x14:dataValidation type="list" allowBlank="1" showDropDown="1" showInputMessage="1" showErrorMessage="1" xr:uid="{00000000-0002-0000-0000-00001C000000}">
          <x14:formula1>
            <xm:f>Hoja1!$J$89:$R$89</xm:f>
          </x14:formula1>
          <xm:sqref>AF10:AF69</xm:sqref>
        </x14:dataValidation>
        <x14:dataValidation type="list" allowBlank="1" showDropDown="1" showInputMessage="1" showErrorMessage="1" xr:uid="{00000000-0002-0000-0000-00001D000000}">
          <x14:formula1>
            <xm:f>Hoja1!$J$90:$R$90</xm:f>
          </x14:formula1>
          <xm:sqref>AG10:AG69</xm:sqref>
        </x14:dataValidation>
        <x14:dataValidation type="list" allowBlank="1" showDropDown="1" showInputMessage="1" showErrorMessage="1" xr:uid="{00000000-0002-0000-0000-00001E000000}">
          <x14:formula1>
            <xm:f>Hoja1!$J$91:$R$91</xm:f>
          </x14:formula1>
          <xm:sqref>AH10:AH69</xm:sqref>
        </x14:dataValidation>
        <x14:dataValidation type="list" allowBlank="1" showDropDown="1" showInputMessage="1" showErrorMessage="1" xr:uid="{00000000-0002-0000-0000-00001F000000}">
          <x14:formula1>
            <xm:f>Hoja1!$J$92:$R$92</xm:f>
          </x14:formula1>
          <xm:sqref>AI10:AI69</xm:sqref>
        </x14:dataValidation>
        <x14:dataValidation type="list" allowBlank="1" showDropDown="1" showInputMessage="1" showErrorMessage="1" xr:uid="{00000000-0002-0000-0000-000020000000}">
          <x14:formula1>
            <xm:f>Hoja1!$J$93:$R$93</xm:f>
          </x14:formula1>
          <xm:sqref>AJ10:AJ69</xm:sqref>
        </x14:dataValidation>
        <x14:dataValidation type="list" allowBlank="1" showDropDown="1" showInputMessage="1" showErrorMessage="1" xr:uid="{00000000-0002-0000-0000-000021000000}">
          <x14:formula1>
            <xm:f>Hoja1!$J$94:$R$94</xm:f>
          </x14:formula1>
          <xm:sqref>AK10:AK69</xm:sqref>
        </x14:dataValidation>
        <x14:dataValidation type="list" allowBlank="1" showDropDown="1" showInputMessage="1" showErrorMessage="1" xr:uid="{00000000-0002-0000-0000-000022000000}">
          <x14:formula1>
            <xm:f>Hoja1!$J$95:$R$95</xm:f>
          </x14:formula1>
          <xm:sqref>AL10:AL69</xm:sqref>
        </x14:dataValidation>
        <x14:dataValidation type="list" allowBlank="1" showDropDown="1" showInputMessage="1" showErrorMessage="1" xr:uid="{00000000-0002-0000-0000-000023000000}">
          <x14:formula1>
            <xm:f>Hoja1!$J$96:$R$96</xm:f>
          </x14:formula1>
          <xm:sqref>AM10:AM69</xm:sqref>
        </x14:dataValidation>
        <x14:dataValidation type="list" allowBlank="1" showDropDown="1" showInputMessage="1" showErrorMessage="1" xr:uid="{00000000-0002-0000-0000-000024000000}">
          <x14:formula1>
            <xm:f>Hoja1!$J$97:$R$97</xm:f>
          </x14:formula1>
          <xm:sqref>AN10:AN69</xm:sqref>
        </x14:dataValidation>
        <x14:dataValidation type="list" allowBlank="1" showDropDown="1" showInputMessage="1" showErrorMessage="1" xr:uid="{00000000-0002-0000-0000-000025000000}">
          <x14:formula1>
            <xm:f>Hoja1!$J$98:$R$98</xm:f>
          </x14:formula1>
          <xm:sqref>AO10:AO69</xm:sqref>
        </x14:dataValidation>
        <x14:dataValidation type="list" allowBlank="1" showDropDown="1" showInputMessage="1" showErrorMessage="1" xr:uid="{00000000-0002-0000-0000-000026000000}">
          <x14:formula1>
            <xm:f>Hoja1!$J$99:$R$99</xm:f>
          </x14:formula1>
          <xm:sqref>AP10:AP69</xm:sqref>
        </x14:dataValidation>
        <x14:dataValidation type="list" allowBlank="1" showDropDown="1" showInputMessage="1" showErrorMessage="1" xr:uid="{00000000-0002-0000-0000-000027000000}">
          <x14:formula1>
            <xm:f>Hoja1!$J$100:$R$100</xm:f>
          </x14:formula1>
          <xm:sqref>AQ10:AQ69</xm:sqref>
        </x14:dataValidation>
        <x14:dataValidation type="list" allowBlank="1" showDropDown="1" showInputMessage="1" showErrorMessage="1" xr:uid="{00000000-0002-0000-0000-000028000000}">
          <x14:formula1>
            <xm:f>Hoja1!$J$101:$R$101</xm:f>
          </x14:formula1>
          <xm:sqref>AR10:AR69</xm:sqref>
        </x14:dataValidation>
        <x14:dataValidation type="list" allowBlank="1" showDropDown="1" showInputMessage="1" showErrorMessage="1" xr:uid="{00000000-0002-0000-0000-000029000000}">
          <x14:formula1>
            <xm:f>Hoja1!$J$102:$R$102</xm:f>
          </x14:formula1>
          <xm:sqref>AS10:AS69</xm:sqref>
        </x14:dataValidation>
        <x14:dataValidation type="list" allowBlank="1" showDropDown="1" showInputMessage="1" showErrorMessage="1" xr:uid="{00000000-0002-0000-0000-00002A000000}">
          <x14:formula1>
            <xm:f>Hoja1!$J$103:$R$103</xm:f>
          </x14:formula1>
          <xm:sqref>AT10:AT69</xm:sqref>
        </x14:dataValidation>
        <x14:dataValidation type="list" allowBlank="1" showDropDown="1" showInputMessage="1" showErrorMessage="1" xr:uid="{00000000-0002-0000-0000-00002B000000}">
          <x14:formula1>
            <xm:f>Hoja1!$J$104:$R$104</xm:f>
          </x14:formula1>
          <xm:sqref>AU10:AU69</xm:sqref>
        </x14:dataValidation>
        <x14:dataValidation type="list" allowBlank="1" showDropDown="1" showInputMessage="1" showErrorMessage="1" xr:uid="{00000000-0002-0000-0000-00002C000000}">
          <x14:formula1>
            <xm:f>Hoja1!$J$105:$R$105</xm:f>
          </x14:formula1>
          <xm:sqref>AV10:AV69</xm:sqref>
        </x14:dataValidation>
        <x14:dataValidation type="list" allowBlank="1" showDropDown="1" showInputMessage="1" showErrorMessage="1" xr:uid="{00000000-0002-0000-0000-00002D000000}">
          <x14:formula1>
            <xm:f>Hoja1!$J$106:$R$106</xm:f>
          </x14:formula1>
          <xm:sqref>AW10:AW69</xm:sqref>
        </x14:dataValidation>
        <x14:dataValidation type="list" allowBlank="1" showDropDown="1" showInputMessage="1" showErrorMessage="1" xr:uid="{00000000-0002-0000-0000-00002E000000}">
          <x14:formula1>
            <xm:f>Hoja1!$J$107:$R$107</xm:f>
          </x14:formula1>
          <xm:sqref>AX10:AX69</xm:sqref>
        </x14:dataValidation>
        <x14:dataValidation type="list" allowBlank="1" showDropDown="1" showInputMessage="1" showErrorMessage="1" xr:uid="{00000000-0002-0000-0000-00002F000000}">
          <x14:formula1>
            <xm:f>Hoja1!$J$108:$R$108</xm:f>
          </x14:formula1>
          <xm:sqref>AY10:AY69</xm:sqref>
        </x14:dataValidation>
        <x14:dataValidation type="list" allowBlank="1" showDropDown="1" showInputMessage="1" showErrorMessage="1" xr:uid="{00000000-0002-0000-0000-000030000000}">
          <x14:formula1>
            <xm:f>Hoja1!$J$109:$R$109</xm:f>
          </x14:formula1>
          <xm:sqref>AZ10:AZ69</xm:sqref>
        </x14:dataValidation>
        <x14:dataValidation type="list" allowBlank="1" showDropDown="1" showInputMessage="1" showErrorMessage="1" xr:uid="{00000000-0002-0000-0000-000031000000}">
          <x14:formula1>
            <xm:f>Hoja1!$J$110:$R$110</xm:f>
          </x14:formula1>
          <xm:sqref>BA10:BA69</xm:sqref>
        </x14:dataValidation>
        <x14:dataValidation type="list" allowBlank="1" showDropDown="1" showInputMessage="1" showErrorMessage="1" xr:uid="{00000000-0002-0000-0000-000032000000}">
          <x14:formula1>
            <xm:f>Hoja1!$J$111:$R$111</xm:f>
          </x14:formula1>
          <xm:sqref>BB10:BB69</xm:sqref>
        </x14:dataValidation>
        <x14:dataValidation type="list" allowBlank="1" showDropDown="1" showInputMessage="1" showErrorMessage="1" xr:uid="{00000000-0002-0000-0000-000033000000}">
          <x14:formula1>
            <xm:f>Hoja1!$J$112:$R$112</xm:f>
          </x14:formula1>
          <xm:sqref>BC10:BC69</xm:sqref>
        </x14:dataValidation>
        <x14:dataValidation type="list" allowBlank="1" showDropDown="1" showInputMessage="1" showErrorMessage="1" xr:uid="{00000000-0002-0000-0000-000034000000}">
          <x14:formula1>
            <xm:f>Hoja1!$J$113:$R$113</xm:f>
          </x14:formula1>
          <xm:sqref>BD10:BD69</xm:sqref>
        </x14:dataValidation>
        <x14:dataValidation type="list" allowBlank="1" showDropDown="1" showInputMessage="1" showErrorMessage="1" xr:uid="{00000000-0002-0000-0000-000035000000}">
          <x14:formula1>
            <xm:f>Hoja1!$J$114:$R$114</xm:f>
          </x14:formula1>
          <xm:sqref>BE10:BE69</xm:sqref>
        </x14:dataValidation>
        <x14:dataValidation type="list" allowBlank="1" showDropDown="1" showInputMessage="1" showErrorMessage="1" xr:uid="{00000000-0002-0000-0000-000036000000}">
          <x14:formula1>
            <xm:f>Hoja1!$J$115:$R$115</xm:f>
          </x14:formula1>
          <xm:sqref>BF10:BF69</xm:sqref>
        </x14:dataValidation>
        <x14:dataValidation type="list" allowBlank="1" showDropDown="1" showInputMessage="1" showErrorMessage="1" xr:uid="{00000000-0002-0000-0000-000037000000}">
          <x14:formula1>
            <xm:f>Hoja1!$J$116:$R$116</xm:f>
          </x14:formula1>
          <xm:sqref>BG10:BG69</xm:sqref>
        </x14:dataValidation>
        <x14:dataValidation type="list" allowBlank="1" showDropDown="1" showInputMessage="1" showErrorMessage="1" xr:uid="{00000000-0002-0000-0000-000038000000}">
          <x14:formula1>
            <xm:f>Hoja1!$J$117:$R$117</xm:f>
          </x14:formula1>
          <xm:sqref>BH10:BH69</xm:sqref>
        </x14:dataValidation>
        <x14:dataValidation type="list" allowBlank="1" showDropDown="1" showInputMessage="1" showErrorMessage="1" xr:uid="{00000000-0002-0000-0000-000039000000}">
          <x14:formula1>
            <xm:f>Hoja1!$J$118:$R$118</xm:f>
          </x14:formula1>
          <xm:sqref>BI10:BI69</xm:sqref>
        </x14:dataValidation>
        <x14:dataValidation type="list" allowBlank="1" showDropDown="1" showInputMessage="1" showErrorMessage="1" xr:uid="{00000000-0002-0000-0000-00003A000000}">
          <x14:formula1>
            <xm:f>Hoja1!$J$119:$R$119</xm:f>
          </x14:formula1>
          <xm:sqref>BJ10:BJ69</xm:sqref>
        </x14:dataValidation>
        <x14:dataValidation type="list" allowBlank="1" showDropDown="1" showInputMessage="1" showErrorMessage="1" xr:uid="{00000000-0002-0000-0000-00003B000000}">
          <x14:formula1>
            <xm:f>Hoja1!$J$120:$R$120</xm:f>
          </x14:formula1>
          <xm:sqref>BK10:BK69</xm:sqref>
        </x14:dataValidation>
        <x14:dataValidation type="list" allowBlank="1" showDropDown="1" showInputMessage="1" showErrorMessage="1" xr:uid="{00000000-0002-0000-0000-00003C000000}">
          <x14:formula1>
            <xm:f>Hoja1!$J$121:$R$121</xm:f>
          </x14:formula1>
          <xm:sqref>BL10:BL69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S121"/>
  <sheetViews>
    <sheetView showGridLines="0" tabSelected="1" workbookViewId="0">
      <selection activeCell="F2" sqref="F2"/>
    </sheetView>
  </sheetViews>
  <sheetFormatPr baseColWidth="10" defaultRowHeight="15" x14ac:dyDescent="0.25"/>
  <cols>
    <col min="1" max="1" width="14.42578125" style="38" customWidth="1"/>
    <col min="2" max="2" width="17.140625" bestFit="1" customWidth="1"/>
    <col min="3" max="3" width="29" customWidth="1"/>
    <col min="4" max="4" width="9.85546875" bestFit="1" customWidth="1"/>
  </cols>
  <sheetData>
    <row r="1" spans="1:10" ht="34.5" customHeight="1" x14ac:dyDescent="0.25">
      <c r="A1" s="41" t="s">
        <v>16</v>
      </c>
      <c r="B1" s="42" t="s">
        <v>15</v>
      </c>
      <c r="C1" s="42" t="s">
        <v>17</v>
      </c>
      <c r="D1" s="42" t="s">
        <v>19</v>
      </c>
      <c r="E1" t="s">
        <v>14</v>
      </c>
      <c r="F1" t="s">
        <v>10</v>
      </c>
      <c r="G1" t="s">
        <v>11</v>
      </c>
      <c r="H1" t="s">
        <v>12</v>
      </c>
      <c r="I1">
        <f>SUM(I2:I61)</f>
        <v>0</v>
      </c>
      <c r="J1" t="s">
        <v>13</v>
      </c>
    </row>
    <row r="2" spans="1:10" x14ac:dyDescent="0.25">
      <c r="A2" s="37"/>
      <c r="B2" s="2"/>
      <c r="C2" s="2"/>
      <c r="D2" s="2">
        <f t="array" ref="D2:D10">TRANSPOSE(J2:R2)</f>
        <v>0</v>
      </c>
      <c r="E2" s="22">
        <f>ROUND(E3,2)</f>
        <v>0</v>
      </c>
      <c r="I2">
        <f>MAX(J2:AK2)</f>
        <v>0</v>
      </c>
    </row>
    <row r="3" spans="1:10" x14ac:dyDescent="0.25">
      <c r="A3" s="37"/>
      <c r="B3" s="2"/>
      <c r="C3" s="2"/>
      <c r="D3" s="2">
        <v>0</v>
      </c>
      <c r="I3">
        <f t="shared" ref="I3:I61" si="0">MAX(J3:AK3)</f>
        <v>0</v>
      </c>
    </row>
    <row r="4" spans="1:10" x14ac:dyDescent="0.25">
      <c r="A4" s="37"/>
      <c r="B4" s="2"/>
      <c r="C4" s="2"/>
      <c r="D4" s="2">
        <v>0</v>
      </c>
      <c r="I4">
        <f t="shared" si="0"/>
        <v>0</v>
      </c>
    </row>
    <row r="5" spans="1:10" x14ac:dyDescent="0.25">
      <c r="A5" s="37"/>
      <c r="B5" s="2"/>
      <c r="C5" s="2"/>
      <c r="D5" s="2">
        <v>0</v>
      </c>
      <c r="I5">
        <f t="shared" si="0"/>
        <v>0</v>
      </c>
    </row>
    <row r="6" spans="1:10" x14ac:dyDescent="0.25">
      <c r="A6" s="37"/>
      <c r="B6" s="2"/>
      <c r="C6" s="2"/>
      <c r="D6" s="2">
        <v>0</v>
      </c>
      <c r="I6">
        <f t="shared" si="0"/>
        <v>0</v>
      </c>
    </row>
    <row r="7" spans="1:10" x14ac:dyDescent="0.25">
      <c r="A7" s="37"/>
      <c r="B7" s="2"/>
      <c r="C7" s="2"/>
      <c r="D7" s="2">
        <v>0</v>
      </c>
      <c r="I7">
        <f t="shared" si="0"/>
        <v>0</v>
      </c>
    </row>
    <row r="8" spans="1:10" x14ac:dyDescent="0.25">
      <c r="A8" s="37"/>
      <c r="B8" s="2"/>
      <c r="C8" s="2"/>
      <c r="D8" s="2">
        <v>0</v>
      </c>
      <c r="I8">
        <f t="shared" si="0"/>
        <v>0</v>
      </c>
    </row>
    <row r="9" spans="1:10" x14ac:dyDescent="0.25">
      <c r="A9" s="37"/>
      <c r="B9" s="2"/>
      <c r="C9" s="2"/>
      <c r="D9" s="2">
        <v>0</v>
      </c>
      <c r="I9">
        <f t="shared" si="0"/>
        <v>0</v>
      </c>
    </row>
    <row r="10" spans="1:10" x14ac:dyDescent="0.25">
      <c r="A10" s="37"/>
      <c r="B10" s="2"/>
      <c r="C10" s="2"/>
      <c r="D10" s="2">
        <v>0</v>
      </c>
      <c r="I10">
        <f t="shared" si="0"/>
        <v>0</v>
      </c>
    </row>
    <row r="11" spans="1:10" x14ac:dyDescent="0.25">
      <c r="A11" s="37"/>
      <c r="B11" s="2"/>
      <c r="C11" s="2"/>
      <c r="D11" s="2"/>
      <c r="I11">
        <f t="shared" si="0"/>
        <v>0</v>
      </c>
    </row>
    <row r="12" spans="1:10" x14ac:dyDescent="0.25">
      <c r="A12" s="37"/>
      <c r="B12" s="2"/>
      <c r="C12" s="2"/>
      <c r="D12" s="2"/>
      <c r="I12">
        <f t="shared" si="0"/>
        <v>0</v>
      </c>
    </row>
    <row r="13" spans="1:10" x14ac:dyDescent="0.25">
      <c r="A13" s="37"/>
      <c r="B13" s="2"/>
      <c r="C13" s="2"/>
      <c r="D13" s="2"/>
      <c r="I13">
        <f t="shared" si="0"/>
        <v>0</v>
      </c>
    </row>
    <row r="14" spans="1:10" x14ac:dyDescent="0.25">
      <c r="A14" s="37"/>
      <c r="B14" s="2"/>
      <c r="I14">
        <f t="shared" si="0"/>
        <v>0</v>
      </c>
    </row>
    <row r="15" spans="1:10" x14ac:dyDescent="0.25">
      <c r="I15">
        <f t="shared" si="0"/>
        <v>0</v>
      </c>
    </row>
    <row r="16" spans="1:10" x14ac:dyDescent="0.25">
      <c r="I16">
        <f t="shared" si="0"/>
        <v>0</v>
      </c>
    </row>
    <row r="17" spans="6:9" x14ac:dyDescent="0.25">
      <c r="I17">
        <f t="shared" si="0"/>
        <v>0</v>
      </c>
    </row>
    <row r="18" spans="6:9" x14ac:dyDescent="0.25">
      <c r="I18">
        <f t="shared" si="0"/>
        <v>0</v>
      </c>
    </row>
    <row r="19" spans="6:9" x14ac:dyDescent="0.25">
      <c r="F19">
        <v>18</v>
      </c>
      <c r="I19">
        <f t="shared" si="0"/>
        <v>0</v>
      </c>
    </row>
    <row r="20" spans="6:9" x14ac:dyDescent="0.25">
      <c r="F20">
        <v>19</v>
      </c>
      <c r="I20">
        <f t="shared" si="0"/>
        <v>0</v>
      </c>
    </row>
    <row r="21" spans="6:9" ht="15.75" customHeight="1" x14ac:dyDescent="0.25">
      <c r="F21">
        <v>20</v>
      </c>
      <c r="I21">
        <f t="shared" si="0"/>
        <v>0</v>
      </c>
    </row>
    <row r="22" spans="6:9" x14ac:dyDescent="0.25">
      <c r="F22">
        <v>21</v>
      </c>
      <c r="I22">
        <f t="shared" si="0"/>
        <v>0</v>
      </c>
    </row>
    <row r="23" spans="6:9" x14ac:dyDescent="0.25">
      <c r="F23">
        <v>22</v>
      </c>
      <c r="I23">
        <f t="shared" si="0"/>
        <v>0</v>
      </c>
    </row>
    <row r="24" spans="6:9" x14ac:dyDescent="0.25">
      <c r="F24">
        <v>23</v>
      </c>
      <c r="I24">
        <f t="shared" si="0"/>
        <v>0</v>
      </c>
    </row>
    <row r="25" spans="6:9" x14ac:dyDescent="0.25">
      <c r="F25">
        <v>24</v>
      </c>
      <c r="I25">
        <f t="shared" si="0"/>
        <v>0</v>
      </c>
    </row>
    <row r="26" spans="6:9" x14ac:dyDescent="0.25">
      <c r="F26">
        <v>25</v>
      </c>
      <c r="I26">
        <f t="shared" si="0"/>
        <v>0</v>
      </c>
    </row>
    <row r="27" spans="6:9" x14ac:dyDescent="0.25">
      <c r="F27">
        <v>26</v>
      </c>
      <c r="I27">
        <f t="shared" si="0"/>
        <v>0</v>
      </c>
    </row>
    <row r="28" spans="6:9" x14ac:dyDescent="0.25">
      <c r="F28">
        <v>27</v>
      </c>
      <c r="I28">
        <f t="shared" si="0"/>
        <v>0</v>
      </c>
    </row>
    <row r="29" spans="6:9" x14ac:dyDescent="0.25">
      <c r="F29">
        <v>28</v>
      </c>
      <c r="I29">
        <f t="shared" si="0"/>
        <v>0</v>
      </c>
    </row>
    <row r="30" spans="6:9" x14ac:dyDescent="0.25">
      <c r="F30">
        <v>29</v>
      </c>
      <c r="I30">
        <f t="shared" si="0"/>
        <v>0</v>
      </c>
    </row>
    <row r="31" spans="6:9" x14ac:dyDescent="0.25">
      <c r="F31">
        <v>30</v>
      </c>
      <c r="I31">
        <f t="shared" si="0"/>
        <v>0</v>
      </c>
    </row>
    <row r="32" spans="6:9" x14ac:dyDescent="0.25">
      <c r="F32">
        <v>31</v>
      </c>
      <c r="I32">
        <f t="shared" si="0"/>
        <v>0</v>
      </c>
    </row>
    <row r="33" spans="6:9" x14ac:dyDescent="0.25">
      <c r="F33">
        <v>32</v>
      </c>
      <c r="I33">
        <f t="shared" si="0"/>
        <v>0</v>
      </c>
    </row>
    <row r="34" spans="6:9" x14ac:dyDescent="0.25">
      <c r="F34">
        <v>33</v>
      </c>
      <c r="I34">
        <f t="shared" si="0"/>
        <v>0</v>
      </c>
    </row>
    <row r="35" spans="6:9" x14ac:dyDescent="0.25">
      <c r="F35">
        <v>34</v>
      </c>
      <c r="I35">
        <f t="shared" si="0"/>
        <v>0</v>
      </c>
    </row>
    <row r="36" spans="6:9" x14ac:dyDescent="0.25">
      <c r="F36">
        <v>35</v>
      </c>
      <c r="I36">
        <f t="shared" si="0"/>
        <v>0</v>
      </c>
    </row>
    <row r="37" spans="6:9" x14ac:dyDescent="0.25">
      <c r="F37">
        <v>36</v>
      </c>
      <c r="I37">
        <f t="shared" si="0"/>
        <v>0</v>
      </c>
    </row>
    <row r="38" spans="6:9" x14ac:dyDescent="0.25">
      <c r="F38">
        <v>37</v>
      </c>
      <c r="I38">
        <f t="shared" si="0"/>
        <v>0</v>
      </c>
    </row>
    <row r="39" spans="6:9" x14ac:dyDescent="0.25">
      <c r="F39">
        <v>38</v>
      </c>
      <c r="I39">
        <f t="shared" si="0"/>
        <v>0</v>
      </c>
    </row>
    <row r="40" spans="6:9" x14ac:dyDescent="0.25">
      <c r="F40">
        <v>39</v>
      </c>
      <c r="I40">
        <f t="shared" si="0"/>
        <v>0</v>
      </c>
    </row>
    <row r="41" spans="6:9" x14ac:dyDescent="0.25">
      <c r="F41">
        <v>40</v>
      </c>
      <c r="I41">
        <f t="shared" si="0"/>
        <v>0</v>
      </c>
    </row>
    <row r="42" spans="6:9" x14ac:dyDescent="0.25">
      <c r="F42">
        <v>41</v>
      </c>
      <c r="I42">
        <f t="shared" si="0"/>
        <v>0</v>
      </c>
    </row>
    <row r="43" spans="6:9" x14ac:dyDescent="0.25">
      <c r="F43">
        <v>42</v>
      </c>
      <c r="I43">
        <f t="shared" si="0"/>
        <v>0</v>
      </c>
    </row>
    <row r="44" spans="6:9" x14ac:dyDescent="0.25">
      <c r="F44">
        <v>43</v>
      </c>
      <c r="I44">
        <f t="shared" si="0"/>
        <v>0</v>
      </c>
    </row>
    <row r="45" spans="6:9" x14ac:dyDescent="0.25">
      <c r="F45">
        <v>44</v>
      </c>
      <c r="I45">
        <f t="shared" si="0"/>
        <v>0</v>
      </c>
    </row>
    <row r="46" spans="6:9" x14ac:dyDescent="0.25">
      <c r="F46">
        <v>45</v>
      </c>
      <c r="I46">
        <f t="shared" si="0"/>
        <v>0</v>
      </c>
    </row>
    <row r="47" spans="6:9" x14ac:dyDescent="0.25">
      <c r="F47">
        <v>46</v>
      </c>
      <c r="I47">
        <f t="shared" si="0"/>
        <v>0</v>
      </c>
    </row>
    <row r="48" spans="6:9" x14ac:dyDescent="0.25">
      <c r="F48">
        <v>47</v>
      </c>
      <c r="I48">
        <f t="shared" si="0"/>
        <v>0</v>
      </c>
    </row>
    <row r="49" spans="6:19" x14ac:dyDescent="0.25">
      <c r="F49">
        <v>48</v>
      </c>
      <c r="I49">
        <f t="shared" si="0"/>
        <v>0</v>
      </c>
    </row>
    <row r="50" spans="6:19" x14ac:dyDescent="0.25">
      <c r="F50">
        <v>49</v>
      </c>
      <c r="I50">
        <f t="shared" si="0"/>
        <v>0</v>
      </c>
    </row>
    <row r="51" spans="6:19" x14ac:dyDescent="0.25">
      <c r="F51">
        <v>50</v>
      </c>
      <c r="I51">
        <f t="shared" si="0"/>
        <v>0</v>
      </c>
    </row>
    <row r="52" spans="6:19" x14ac:dyDescent="0.25">
      <c r="F52">
        <v>51</v>
      </c>
      <c r="I52">
        <f t="shared" si="0"/>
        <v>0</v>
      </c>
    </row>
    <row r="53" spans="6:19" x14ac:dyDescent="0.25">
      <c r="F53">
        <v>52</v>
      </c>
      <c r="I53">
        <f t="shared" si="0"/>
        <v>0</v>
      </c>
    </row>
    <row r="54" spans="6:19" x14ac:dyDescent="0.25">
      <c r="F54">
        <v>53</v>
      </c>
      <c r="I54">
        <f t="shared" si="0"/>
        <v>0</v>
      </c>
    </row>
    <row r="55" spans="6:19" x14ac:dyDescent="0.25">
      <c r="F55">
        <v>54</v>
      </c>
      <c r="I55">
        <f t="shared" si="0"/>
        <v>0</v>
      </c>
    </row>
    <row r="56" spans="6:19" x14ac:dyDescent="0.25">
      <c r="F56">
        <v>55</v>
      </c>
      <c r="I56">
        <f t="shared" si="0"/>
        <v>0</v>
      </c>
    </row>
    <row r="57" spans="6:19" x14ac:dyDescent="0.25">
      <c r="F57">
        <v>56</v>
      </c>
      <c r="I57">
        <f t="shared" si="0"/>
        <v>0</v>
      </c>
    </row>
    <row r="58" spans="6:19" x14ac:dyDescent="0.25">
      <c r="F58">
        <v>57</v>
      </c>
      <c r="I58">
        <f t="shared" si="0"/>
        <v>0</v>
      </c>
    </row>
    <row r="59" spans="6:19" x14ac:dyDescent="0.25">
      <c r="F59">
        <v>58</v>
      </c>
      <c r="I59">
        <f t="shared" si="0"/>
        <v>0</v>
      </c>
    </row>
    <row r="60" spans="6:19" x14ac:dyDescent="0.25">
      <c r="F60">
        <v>59</v>
      </c>
      <c r="I60">
        <f t="shared" si="0"/>
        <v>0</v>
      </c>
    </row>
    <row r="61" spans="6:19" x14ac:dyDescent="0.25">
      <c r="F61">
        <v>60</v>
      </c>
      <c r="I61">
        <f t="shared" si="0"/>
        <v>0</v>
      </c>
    </row>
    <row r="62" spans="6:19" x14ac:dyDescent="0.25">
      <c r="I62">
        <v>1</v>
      </c>
      <c r="J62" t="str">
        <f>IF(J2&lt;&gt;"",$A$2,"")</f>
        <v/>
      </c>
      <c r="K62" t="str">
        <f>IF(COUNTIF($J2:K2,K2)&gt;1,"",IF(K2&lt;&gt;"",$A$3,""))</f>
        <v/>
      </c>
      <c r="L62" t="str">
        <f>IF(COUNTIF($J2:L2,L2)&gt;1,"",IF(L2&lt;&gt;"",$A$4,""))</f>
        <v/>
      </c>
      <c r="M62" t="str">
        <f>IF(COUNTIF($J2:M2,M2)&gt;1,"",IF(M2&lt;&gt;"",$A$5,""))</f>
        <v/>
      </c>
      <c r="N62" t="str">
        <f>IF(COUNTIF($J2:N2,N2)&gt;1,"",IF(N2&lt;&gt;"",$A$6,""))</f>
        <v/>
      </c>
      <c r="O62" t="str">
        <f>IF(COUNTIF($J2:O2,O2)&gt;1,"",IF(O2&lt;&gt;"",$A$7,""))</f>
        <v/>
      </c>
      <c r="P62" t="str">
        <f>IF(COUNTIF($J2:P2,P2)&gt;1,"",IF(P2&lt;&gt;"",$A$8,""))</f>
        <v/>
      </c>
      <c r="Q62" t="str">
        <f>IF(COUNTIF($J2:Q2,Q2)&gt;1,"",IF(Q2&lt;&gt;"",$A$9,""))</f>
        <v/>
      </c>
      <c r="R62" t="str">
        <f>IF(COUNTIF($J2:R2,R2)&gt;1,"",IF(R2&lt;&gt;"",$A$10,""))</f>
        <v/>
      </c>
      <c r="S62" s="39" t="str">
        <f>IF(COUNTIF($J2:S2,S2)&gt;1,"",IF(S2&lt;&gt;"",$A$11,""))</f>
        <v/>
      </c>
    </row>
    <row r="63" spans="6:19" x14ac:dyDescent="0.25">
      <c r="I63">
        <v>2</v>
      </c>
      <c r="J63" t="str">
        <f t="shared" ref="J63:J121" si="1">IF(J3&lt;&gt;"",$A$2,"")</f>
        <v/>
      </c>
      <c r="K63" t="str">
        <f>IF(COUNTIF($J3:K3,K3)&gt;1,"",IF(K3&lt;&gt;"",$A$3,""))</f>
        <v/>
      </c>
      <c r="L63" t="str">
        <f>IF(COUNTIF($J3:L3,L3)&gt;1,"",IF(L3&lt;&gt;"",$A$4,""))</f>
        <v/>
      </c>
      <c r="M63" t="str">
        <f>IF(COUNTIF($J3:M3,M3)&gt;1,"",IF(M3&lt;&gt;"",$A$5,""))</f>
        <v/>
      </c>
      <c r="N63" t="str">
        <f>IF(COUNTIF($J3:N3,N3)&gt;1,"",IF(N3&lt;&gt;"",$A$6,""))</f>
        <v/>
      </c>
      <c r="O63" t="str">
        <f>IF(COUNTIF($J3:O3,O3)&gt;1,"",IF(O3&lt;&gt;"",$A$7,""))</f>
        <v/>
      </c>
      <c r="P63" t="str">
        <f>IF(COUNTIF($J3:P3,P3)&gt;1,"",IF(P3&lt;&gt;"",$A$8,""))</f>
        <v/>
      </c>
      <c r="Q63" t="str">
        <f>IF(COUNTIF($J3:Q3,Q3)&gt;1,"",IF(Q3&lt;&gt;"",$A$9,""))</f>
        <v/>
      </c>
      <c r="R63" t="str">
        <f>IF(COUNTIF($J3:R3,R3)&gt;1,"",IF(R3&lt;&gt;"",$A$10,""))</f>
        <v/>
      </c>
      <c r="S63" s="39" t="str">
        <f>IF(COUNTIF($J3:S3,S3)&gt;1,"",IF(S3&lt;&gt;"",$A$11,""))</f>
        <v/>
      </c>
    </row>
    <row r="64" spans="6:19" x14ac:dyDescent="0.25">
      <c r="I64">
        <v>3</v>
      </c>
      <c r="J64" t="str">
        <f t="shared" si="1"/>
        <v/>
      </c>
      <c r="K64" t="str">
        <f>IF(COUNTIF($J4:K4,K4)&gt;1,"",IF(K4&lt;&gt;"",$A$3,""))</f>
        <v/>
      </c>
      <c r="L64" t="str">
        <f>IF(COUNTIF($J4:L4,L4)&gt;1,"",IF(L4&lt;&gt;"",$A$4,""))</f>
        <v/>
      </c>
      <c r="M64" t="str">
        <f>IF(COUNTIF($J4:M4,M4)&gt;1,"",IF(M4&lt;&gt;"",$A$5,""))</f>
        <v/>
      </c>
      <c r="N64" t="str">
        <f>IF(COUNTIF($J4:N4,N4)&gt;1,"",IF(N4&lt;&gt;"",$A$6,""))</f>
        <v/>
      </c>
      <c r="O64" t="str">
        <f>IF(COUNTIF($J4:O4,O4)&gt;1,"",IF(O4&lt;&gt;"",$A$7,""))</f>
        <v/>
      </c>
      <c r="P64" t="str">
        <f>IF(COUNTIF($J4:P4,P4)&gt;1,"",IF(P4&lt;&gt;"",$A$8,""))</f>
        <v/>
      </c>
      <c r="Q64" t="str">
        <f>IF(COUNTIF($J4:Q4,Q4)&gt;1,"",IF(Q4&lt;&gt;"",$A$9,""))</f>
        <v/>
      </c>
      <c r="R64" t="str">
        <f>IF(COUNTIF($J4:R4,R4)&gt;1,"",IF(R4&lt;&gt;"",$A$10,""))</f>
        <v/>
      </c>
      <c r="S64" s="39" t="str">
        <f>IF(COUNTIF($J4:S4,S4)&gt;1,"",IF(S4&lt;&gt;"",$A$11,""))</f>
        <v/>
      </c>
    </row>
    <row r="65" spans="9:19" x14ac:dyDescent="0.25">
      <c r="I65">
        <v>4</v>
      </c>
      <c r="J65" t="str">
        <f t="shared" si="1"/>
        <v/>
      </c>
      <c r="K65" t="str">
        <f>IF(COUNTIF($J5:K5,K5)&gt;1,"",IF(K5&lt;&gt;"",$A$3,""))</f>
        <v/>
      </c>
      <c r="L65" t="str">
        <f>IF(COUNTIF($J5:L5,L5)&gt;1,"",IF(L5&lt;&gt;"",$A$4,""))</f>
        <v/>
      </c>
      <c r="M65" t="str">
        <f>IF(COUNTIF($J5:M5,M5)&gt;1,"",IF(M5&lt;&gt;"",$A$5,""))</f>
        <v/>
      </c>
      <c r="N65" t="str">
        <f>IF(COUNTIF($J5:N5,N5)&gt;1,"",IF(N5&lt;&gt;"",$A$6,""))</f>
        <v/>
      </c>
      <c r="O65" t="str">
        <f>IF(COUNTIF($J5:O5,O5)&gt;1,"",IF(O5&lt;&gt;"",$A$7,""))</f>
        <v/>
      </c>
      <c r="P65" t="str">
        <f>IF(COUNTIF($J5:P5,P5)&gt;1,"",IF(P5&lt;&gt;"",$A$8,""))</f>
        <v/>
      </c>
      <c r="Q65" t="str">
        <f>IF(COUNTIF($J5:Q5,Q5)&gt;1,"",IF(Q5&lt;&gt;"",$A$9,""))</f>
        <v/>
      </c>
      <c r="R65" t="str">
        <f>IF(COUNTIF($J5:R5,R5)&gt;1,"",IF(R5&lt;&gt;"",$A$10,""))</f>
        <v/>
      </c>
      <c r="S65" s="39" t="str">
        <f>IF(COUNTIF($J5:S5,S5)&gt;1,"",IF(S5&lt;&gt;"",$A$11,""))</f>
        <v/>
      </c>
    </row>
    <row r="66" spans="9:19" x14ac:dyDescent="0.25">
      <c r="I66">
        <v>5</v>
      </c>
      <c r="J66" t="str">
        <f t="shared" si="1"/>
        <v/>
      </c>
      <c r="K66" t="str">
        <f>IF(COUNTIF($J6:K6,K6)&gt;1,"",IF(K6&lt;&gt;"",$A$3,""))</f>
        <v/>
      </c>
      <c r="L66" t="str">
        <f>IF(COUNTIF($J6:L6,L6)&gt;1,"",IF(L6&lt;&gt;"",$A$4,""))</f>
        <v/>
      </c>
      <c r="M66" t="str">
        <f>IF(COUNTIF($J6:M6,M6)&gt;1,"",IF(M6&lt;&gt;"",$A$5,""))</f>
        <v/>
      </c>
      <c r="N66" t="str">
        <f>IF(COUNTIF($J6:N6,N6)&gt;1,"",IF(N6&lt;&gt;"",$A$6,""))</f>
        <v/>
      </c>
      <c r="O66" t="str">
        <f>IF(COUNTIF($J6:O6,O6)&gt;1,"",IF(O6&lt;&gt;"",$A$7,""))</f>
        <v/>
      </c>
      <c r="P66" t="str">
        <f>IF(COUNTIF($J6:P6,P6)&gt;1,"",IF(P6&lt;&gt;"",$A$8,""))</f>
        <v/>
      </c>
      <c r="Q66" t="str">
        <f>IF(COUNTIF($J6:Q6,Q6)&gt;1,"",IF(Q6&lt;&gt;"",$A$9,""))</f>
        <v/>
      </c>
      <c r="R66" t="str">
        <f>IF(COUNTIF($J6:R6,R6)&gt;1,"",IF(R6&lt;&gt;"",$A$10,""))</f>
        <v/>
      </c>
      <c r="S66" s="39" t="str">
        <f>IF(COUNTIF($J6:S6,S6)&gt;1,"",IF(S6&lt;&gt;"",$A$11,""))</f>
        <v/>
      </c>
    </row>
    <row r="67" spans="9:19" x14ac:dyDescent="0.25">
      <c r="I67">
        <v>6</v>
      </c>
      <c r="J67" t="str">
        <f t="shared" si="1"/>
        <v/>
      </c>
      <c r="K67" t="str">
        <f>IF(COUNTIF($J7:K7,K7)&gt;1,"",IF(K7&lt;&gt;"",$A$3,""))</f>
        <v/>
      </c>
      <c r="L67" t="str">
        <f>IF(COUNTIF($J7:L7,L7)&gt;1,"",IF(L7&lt;&gt;"",$A$4,""))</f>
        <v/>
      </c>
      <c r="M67" t="str">
        <f>IF(COUNTIF($J7:M7,M7)&gt;1,"",IF(M7&lt;&gt;"",$A$5,""))</f>
        <v/>
      </c>
      <c r="N67" t="str">
        <f>IF(COUNTIF($J7:N7,N7)&gt;1,"",IF(N7&lt;&gt;"",$A$6,""))</f>
        <v/>
      </c>
      <c r="O67" t="str">
        <f>IF(COUNTIF($J7:O7,O7)&gt;1,"",IF(O7&lt;&gt;"",$A$7,""))</f>
        <v/>
      </c>
      <c r="P67" t="str">
        <f>IF(COUNTIF($J7:P7,P7)&gt;1,"",IF(P7&lt;&gt;"",$A$8,""))</f>
        <v/>
      </c>
      <c r="Q67" t="str">
        <f>IF(COUNTIF($J7:Q7,Q7)&gt;1,"",IF(Q7&lt;&gt;"",$A$9,""))</f>
        <v/>
      </c>
      <c r="R67" t="str">
        <f>IF(COUNTIF($J7:R7,R7)&gt;1,"",IF(R7&lt;&gt;"",$A$10,""))</f>
        <v/>
      </c>
      <c r="S67" s="39" t="str">
        <f>IF(COUNTIF($J7:S7,S7)&gt;1,"",IF(S7&lt;&gt;"",$A$11,""))</f>
        <v/>
      </c>
    </row>
    <row r="68" spans="9:19" x14ac:dyDescent="0.25">
      <c r="I68">
        <v>7</v>
      </c>
      <c r="J68" t="str">
        <f t="shared" si="1"/>
        <v/>
      </c>
      <c r="K68" t="str">
        <f>IF(COUNTIF($J8:K8,K8)&gt;1,"",IF(K8&lt;&gt;"",$A$3,""))</f>
        <v/>
      </c>
      <c r="L68" t="str">
        <f>IF(COUNTIF($J8:L8,L8)&gt;1,"",IF(L8&lt;&gt;"",$A$4,""))</f>
        <v/>
      </c>
      <c r="M68" t="str">
        <f>IF(COUNTIF($J8:M8,M8)&gt;1,"",IF(M8&lt;&gt;"",$A$5,""))</f>
        <v/>
      </c>
      <c r="N68" t="str">
        <f>IF(COUNTIF($J8:N8,N8)&gt;1,"",IF(N8&lt;&gt;"",$A$6,""))</f>
        <v/>
      </c>
      <c r="O68" t="str">
        <f>IF(COUNTIF($J8:O8,O8)&gt;1,"",IF(O8&lt;&gt;"",$A$7,""))</f>
        <v/>
      </c>
      <c r="P68" t="str">
        <f>IF(COUNTIF($J8:P8,P8)&gt;1,"",IF(P8&lt;&gt;"",$A$8,""))</f>
        <v/>
      </c>
      <c r="Q68" t="str">
        <f>IF(COUNTIF($J8:Q8,Q8)&gt;1,"",IF(Q8&lt;&gt;"",$A$9,""))</f>
        <v/>
      </c>
      <c r="R68" t="str">
        <f>IF(COUNTIF($J8:R8,R8)&gt;1,"",IF(R8&lt;&gt;"",$A$10,""))</f>
        <v/>
      </c>
      <c r="S68" s="39" t="str">
        <f>IF(COUNTIF($J8:S8,S8)&gt;1,"",IF(S8&lt;&gt;"",$A$11,""))</f>
        <v/>
      </c>
    </row>
    <row r="69" spans="9:19" x14ac:dyDescent="0.25">
      <c r="I69">
        <v>8</v>
      </c>
      <c r="J69" t="str">
        <f t="shared" si="1"/>
        <v/>
      </c>
      <c r="K69" t="str">
        <f>IF(COUNTIF($J9:K9,K9)&gt;1,"",IF(K9&lt;&gt;"",$A$3,""))</f>
        <v/>
      </c>
      <c r="L69" t="str">
        <f>IF(COUNTIF($J9:L9,L9)&gt;1,"",IF(L9&lt;&gt;"",$A$4,""))</f>
        <v/>
      </c>
      <c r="M69" t="str">
        <f>IF(COUNTIF($J9:M9,M9)&gt;1,"",IF(M9&lt;&gt;"",$A$5,""))</f>
        <v/>
      </c>
      <c r="N69" t="str">
        <f>IF(COUNTIF($J9:N9,N9)&gt;1,"",IF(N9&lt;&gt;"",$A$6,""))</f>
        <v/>
      </c>
      <c r="O69" t="str">
        <f>IF(COUNTIF($J9:O9,O9)&gt;1,"",IF(O9&lt;&gt;"",$A$7,""))</f>
        <v/>
      </c>
      <c r="P69" t="str">
        <f>IF(COUNTIF($J9:P9,P9)&gt;1,"",IF(P9&lt;&gt;"",$A$8,""))</f>
        <v/>
      </c>
      <c r="Q69" t="str">
        <f>IF(COUNTIF($J9:Q9,Q9)&gt;1,"",IF(Q9&lt;&gt;"",$A$9,""))</f>
        <v/>
      </c>
      <c r="R69" t="str">
        <f>IF(COUNTIF($J9:R9,R9)&gt;1,"",IF(R9&lt;&gt;"",$A$10,""))</f>
        <v/>
      </c>
      <c r="S69" s="39" t="str">
        <f>IF(COUNTIF($J9:S9,S9)&gt;1,"",IF(S9&lt;&gt;"",$A$11,""))</f>
        <v/>
      </c>
    </row>
    <row r="70" spans="9:19" x14ac:dyDescent="0.25">
      <c r="I70">
        <v>9</v>
      </c>
      <c r="J70" t="str">
        <f t="shared" si="1"/>
        <v/>
      </c>
      <c r="K70" t="str">
        <f>IF(COUNTIF($J10:K10,K10)&gt;1,"",IF(K10&lt;&gt;"",$A$3,""))</f>
        <v/>
      </c>
      <c r="L70" t="str">
        <f>IF(COUNTIF($J10:L10,L10)&gt;1,"",IF(L10&lt;&gt;"",$A$4,""))</f>
        <v/>
      </c>
      <c r="M70" t="str">
        <f>IF(COUNTIF($J10:M10,M10)&gt;1,"",IF(M10&lt;&gt;"",$A$5,""))</f>
        <v/>
      </c>
      <c r="N70" t="str">
        <f>IF(COUNTIF($J10:N10,N10)&gt;1,"",IF(N10&lt;&gt;"",$A$6,""))</f>
        <v/>
      </c>
      <c r="O70" t="str">
        <f>IF(COUNTIF($J10:O10,O10)&gt;1,"",IF(O10&lt;&gt;"",$A$7,""))</f>
        <v/>
      </c>
      <c r="P70" t="str">
        <f>IF(COUNTIF($J10:P10,P10)&gt;1,"",IF(P10&lt;&gt;"",$A$8,""))</f>
        <v/>
      </c>
      <c r="Q70" t="str">
        <f>IF(COUNTIF($J10:Q10,Q10)&gt;1,"",IF(Q10&lt;&gt;"",$A$9,""))</f>
        <v/>
      </c>
      <c r="R70" t="str">
        <f>IF(COUNTIF($J10:R10,R10)&gt;1,"",IF(R10&lt;&gt;"",$A$10,""))</f>
        <v/>
      </c>
      <c r="S70" s="39" t="str">
        <f>IF(COUNTIF($J10:S10,S10)&gt;1,"",IF(S10&lt;&gt;"",$A$11,""))</f>
        <v/>
      </c>
    </row>
    <row r="71" spans="9:19" x14ac:dyDescent="0.25">
      <c r="I71">
        <v>10</v>
      </c>
      <c r="J71" t="str">
        <f t="shared" si="1"/>
        <v/>
      </c>
      <c r="K71" t="str">
        <f>IF(COUNTIF($J11:K11,K11)&gt;1,"",IF(K11&lt;&gt;"",$A$3,""))</f>
        <v/>
      </c>
      <c r="L71" t="str">
        <f>IF(COUNTIF($J11:L11,L11)&gt;1,"",IF(L11&lt;&gt;"",$A$4,""))</f>
        <v/>
      </c>
      <c r="M71" t="str">
        <f>IF(COUNTIF($J11:M11,M11)&gt;1,"",IF(M11&lt;&gt;"",$A$5,""))</f>
        <v/>
      </c>
      <c r="N71" t="str">
        <f>IF(COUNTIF($J11:N11,N11)&gt;1,"",IF(N11&lt;&gt;"",$A$6,""))</f>
        <v/>
      </c>
      <c r="O71" t="str">
        <f>IF(COUNTIF($J11:O11,O11)&gt;1,"",IF(O11&lt;&gt;"",$A$7,""))</f>
        <v/>
      </c>
      <c r="P71" t="str">
        <f>IF(COUNTIF($J11:P11,P11)&gt;1,"",IF(P11&lt;&gt;"",$A$8,""))</f>
        <v/>
      </c>
      <c r="Q71" t="str">
        <f>IF(COUNTIF($J11:Q11,Q11)&gt;1,"",IF(Q11&lt;&gt;"",$A$9,""))</f>
        <v/>
      </c>
      <c r="R71" t="str">
        <f>IF(COUNTIF($J11:R11,R11)&gt;1,"",IF(R11&lt;&gt;"",$A$10,""))</f>
        <v/>
      </c>
      <c r="S71" s="39" t="str">
        <f>IF(COUNTIF($J11:S11,S11)&gt;1,"",IF(S11&lt;&gt;"",$A$11,""))</f>
        <v/>
      </c>
    </row>
    <row r="72" spans="9:19" x14ac:dyDescent="0.25">
      <c r="I72">
        <v>11</v>
      </c>
      <c r="J72" t="str">
        <f t="shared" si="1"/>
        <v/>
      </c>
      <c r="K72" t="str">
        <f>IF(COUNTIF($J12:K12,K12)&gt;1,"",IF(K12&lt;&gt;"",$A$3,""))</f>
        <v/>
      </c>
      <c r="L72" t="str">
        <f>IF(COUNTIF($J12:L12,L12)&gt;1,"",IF(L12&lt;&gt;"",$A$4,""))</f>
        <v/>
      </c>
      <c r="M72" t="str">
        <f>IF(COUNTIF($J12:M12,M12)&gt;1,"",IF(M12&lt;&gt;"",$A$5,""))</f>
        <v/>
      </c>
      <c r="N72" t="str">
        <f>IF(COUNTIF($J12:N12,N12)&gt;1,"",IF(N12&lt;&gt;"",$A$6,""))</f>
        <v/>
      </c>
      <c r="O72" t="str">
        <f>IF(COUNTIF($J12:O12,O12)&gt;1,"",IF(O12&lt;&gt;"",$A$7,""))</f>
        <v/>
      </c>
      <c r="P72" t="str">
        <f>IF(COUNTIF($J12:P12,P12)&gt;1,"",IF(P12&lt;&gt;"",$A$8,""))</f>
        <v/>
      </c>
      <c r="Q72" t="str">
        <f>IF(COUNTIF($J12:Q12,Q12)&gt;1,"",IF(Q12&lt;&gt;"",$A$9,""))</f>
        <v/>
      </c>
      <c r="R72" t="str">
        <f>IF(COUNTIF($J12:R12,R12)&gt;1,"",IF(R12&lt;&gt;"",$A$10,""))</f>
        <v/>
      </c>
      <c r="S72" s="39" t="str">
        <f>IF(COUNTIF($J12:S12,S12)&gt;1,"",IF(S12&lt;&gt;"",$A$11,""))</f>
        <v/>
      </c>
    </row>
    <row r="73" spans="9:19" x14ac:dyDescent="0.25">
      <c r="I73">
        <v>12</v>
      </c>
      <c r="J73" t="str">
        <f t="shared" si="1"/>
        <v/>
      </c>
      <c r="K73" t="str">
        <f>IF(COUNTIF($J13:K13,K13)&gt;1,"",IF(K13&lt;&gt;"",$A$3,""))</f>
        <v/>
      </c>
      <c r="L73" t="str">
        <f>IF(COUNTIF($J13:L13,L13)&gt;1,"",IF(L13&lt;&gt;"",$A$4,""))</f>
        <v/>
      </c>
      <c r="M73" t="str">
        <f>IF(COUNTIF($J13:M13,M13)&gt;1,"",IF(M13&lt;&gt;"",$A$5,""))</f>
        <v/>
      </c>
      <c r="N73" t="str">
        <f>IF(COUNTIF($J13:N13,N13)&gt;1,"",IF(N13&lt;&gt;"",$A$6,""))</f>
        <v/>
      </c>
      <c r="O73" t="str">
        <f>IF(COUNTIF($J13:O13,O13)&gt;1,"",IF(O13&lt;&gt;"",$A$7,""))</f>
        <v/>
      </c>
      <c r="P73" t="str">
        <f>IF(COUNTIF($J13:P13,P13)&gt;1,"",IF(P13&lt;&gt;"",$A$8,""))</f>
        <v/>
      </c>
      <c r="Q73" t="str">
        <f>IF(COUNTIF($J13:Q13,Q13)&gt;1,"",IF(Q13&lt;&gt;"",$A$9,""))</f>
        <v/>
      </c>
      <c r="R73" t="str">
        <f>IF(COUNTIF($J13:R13,R13)&gt;1,"",IF(R13&lt;&gt;"",$A$10,""))</f>
        <v/>
      </c>
      <c r="S73" s="39" t="str">
        <f>IF(COUNTIF($J13:S13,S13)&gt;1,"",IF(S13&lt;&gt;"",$A$11,""))</f>
        <v/>
      </c>
    </row>
    <row r="74" spans="9:19" x14ac:dyDescent="0.25">
      <c r="I74">
        <v>13</v>
      </c>
      <c r="J74" t="str">
        <f t="shared" si="1"/>
        <v/>
      </c>
      <c r="K74" t="str">
        <f>IF(COUNTIF($J14:K14,K14)&gt;1,"",IF(K14&lt;&gt;"",$A$3,""))</f>
        <v/>
      </c>
      <c r="L74" t="str">
        <f>IF(COUNTIF($J14:L14,L14)&gt;1,"",IF(L14&lt;&gt;"",$A$4,""))</f>
        <v/>
      </c>
      <c r="M74" t="str">
        <f>IF(COUNTIF($J14:M14,M14)&gt;1,"",IF(M14&lt;&gt;"",$A$5,""))</f>
        <v/>
      </c>
      <c r="N74" t="str">
        <f>IF(COUNTIF($J14:N14,N14)&gt;1,"",IF(N14&lt;&gt;"",$A$6,""))</f>
        <v/>
      </c>
      <c r="O74" t="str">
        <f>IF(COUNTIF($J14:O14,O14)&gt;1,"",IF(O14&lt;&gt;"",$A$7,""))</f>
        <v/>
      </c>
      <c r="P74" t="str">
        <f>IF(COUNTIF($J14:P14,P14)&gt;1,"",IF(P14&lt;&gt;"",$A$8,""))</f>
        <v/>
      </c>
      <c r="Q74" t="str">
        <f>IF(COUNTIF($J14:Q14,Q14)&gt;1,"",IF(Q14&lt;&gt;"",$A$9,""))</f>
        <v/>
      </c>
      <c r="R74" t="str">
        <f>IF(COUNTIF($J14:R14,R14)&gt;1,"",IF(R14&lt;&gt;"",$A$10,""))</f>
        <v/>
      </c>
      <c r="S74" s="39" t="str">
        <f>IF(COUNTIF($J14:S14,S14)&gt;1,"",IF(S14&lt;&gt;"",$A$11,""))</f>
        <v/>
      </c>
    </row>
    <row r="75" spans="9:19" x14ac:dyDescent="0.25">
      <c r="I75">
        <v>14</v>
      </c>
      <c r="J75" t="str">
        <f t="shared" si="1"/>
        <v/>
      </c>
      <c r="K75" t="str">
        <f>IF(COUNTIF($J15:K15,K15)&gt;1,"",IF(K15&lt;&gt;"",$A$3,""))</f>
        <v/>
      </c>
      <c r="L75" t="str">
        <f>IF(COUNTIF($J15:L15,L15)&gt;1,"",IF(L15&lt;&gt;"",$A$4,""))</f>
        <v/>
      </c>
      <c r="M75" t="str">
        <f>IF(COUNTIF($J15:M15,M15)&gt;1,"",IF(M15&lt;&gt;"",$A$5,""))</f>
        <v/>
      </c>
      <c r="N75" t="str">
        <f>IF(COUNTIF($J15:N15,N15)&gt;1,"",IF(N15&lt;&gt;"",$A$6,""))</f>
        <v/>
      </c>
      <c r="O75" t="str">
        <f>IF(COUNTIF($J15:O15,O15)&gt;1,"",IF(O15&lt;&gt;"",$A$7,""))</f>
        <v/>
      </c>
      <c r="P75" t="str">
        <f>IF(COUNTIF($J15:P15,P15)&gt;1,"",IF(P15&lt;&gt;"",$A$8,""))</f>
        <v/>
      </c>
      <c r="Q75" t="str">
        <f>IF(COUNTIF($J15:Q15,Q15)&gt;1,"",IF(Q15&lt;&gt;"",$A$9,""))</f>
        <v/>
      </c>
      <c r="R75" t="str">
        <f>IF(COUNTIF($J15:R15,R15)&gt;1,"",IF(R15&lt;&gt;"",$A$10,""))</f>
        <v/>
      </c>
      <c r="S75" s="39" t="str">
        <f>IF(COUNTIF($J15:S15,S15)&gt;1,"",IF(S15&lt;&gt;"",$A$11,""))</f>
        <v/>
      </c>
    </row>
    <row r="76" spans="9:19" x14ac:dyDescent="0.25">
      <c r="I76">
        <v>15</v>
      </c>
      <c r="J76" t="str">
        <f t="shared" si="1"/>
        <v/>
      </c>
      <c r="K76" t="str">
        <f>IF(COUNTIF($J16:K16,K16)&gt;1,"",IF(K16&lt;&gt;"",$A$3,""))</f>
        <v/>
      </c>
      <c r="L76" t="str">
        <f>IF(COUNTIF($J16:L16,L16)&gt;1,"",IF(L16&lt;&gt;"",$A$4,""))</f>
        <v/>
      </c>
      <c r="M76" t="str">
        <f>IF(COUNTIF($J16:M16,M16)&gt;1,"",IF(M16&lt;&gt;"",$A$5,""))</f>
        <v/>
      </c>
      <c r="N76" t="str">
        <f>IF(COUNTIF($J16:N16,N16)&gt;1,"",IF(N16&lt;&gt;"",$A$6,""))</f>
        <v/>
      </c>
      <c r="O76" t="str">
        <f>IF(COUNTIF($J16:O16,O16)&gt;1,"",IF(O16&lt;&gt;"",$A$7,""))</f>
        <v/>
      </c>
      <c r="P76" t="str">
        <f>IF(COUNTIF($J16:P16,P16)&gt;1,"",IF(P16&lt;&gt;"",$A$8,""))</f>
        <v/>
      </c>
      <c r="Q76" t="str">
        <f>IF(COUNTIF($J16:Q16,Q16)&gt;1,"",IF(Q16&lt;&gt;"",$A$9,""))</f>
        <v/>
      </c>
      <c r="R76" t="str">
        <f>IF(COUNTIF($J16:R16,R16)&gt;1,"",IF(R16&lt;&gt;"",$A$10,""))</f>
        <v/>
      </c>
      <c r="S76" s="39" t="str">
        <f>IF(COUNTIF($J16:S16,S16)&gt;1,"",IF(S16&lt;&gt;"",$A$11,""))</f>
        <v/>
      </c>
    </row>
    <row r="77" spans="9:19" x14ac:dyDescent="0.25">
      <c r="I77">
        <v>16</v>
      </c>
      <c r="J77" t="str">
        <f t="shared" si="1"/>
        <v/>
      </c>
      <c r="K77" t="str">
        <f>IF(COUNTIF($J17:K17,K17)&gt;1,"",IF(K17&lt;&gt;"",$A$3,""))</f>
        <v/>
      </c>
      <c r="L77" t="str">
        <f>IF(COUNTIF($J17:L17,L17)&gt;1,"",IF(L17&lt;&gt;"",$A$4,""))</f>
        <v/>
      </c>
      <c r="M77" t="str">
        <f>IF(COUNTIF($J17:M17,M17)&gt;1,"",IF(M17&lt;&gt;"",$A$5,""))</f>
        <v/>
      </c>
      <c r="N77" t="str">
        <f>IF(COUNTIF($J17:N17,N17)&gt;1,"",IF(N17&lt;&gt;"",$A$6,""))</f>
        <v/>
      </c>
      <c r="O77" t="str">
        <f>IF(COUNTIF($J17:O17,O17)&gt;1,"",IF(O17&lt;&gt;"",$A$7,""))</f>
        <v/>
      </c>
      <c r="P77" t="str">
        <f>IF(COUNTIF($J17:P17,P17)&gt;1,"",IF(P17&lt;&gt;"",$A$8,""))</f>
        <v/>
      </c>
      <c r="Q77" t="str">
        <f>IF(COUNTIF($J17:Q17,Q17)&gt;1,"",IF(Q17&lt;&gt;"",$A$9,""))</f>
        <v/>
      </c>
      <c r="R77" t="str">
        <f>IF(COUNTIF($J17:R17,R17)&gt;1,"",IF(R17&lt;&gt;"",$A$10,""))</f>
        <v/>
      </c>
      <c r="S77" s="39" t="str">
        <f>IF(COUNTIF($J17:S17,S17)&gt;1,"",IF(S17&lt;&gt;"",$A$11,""))</f>
        <v/>
      </c>
    </row>
    <row r="78" spans="9:19" x14ac:dyDescent="0.25">
      <c r="I78">
        <v>17</v>
      </c>
      <c r="J78" t="str">
        <f t="shared" si="1"/>
        <v/>
      </c>
      <c r="K78" t="str">
        <f>IF(COUNTIF($J18:K18,K18)&gt;1,"",IF(K18&lt;&gt;"",$A$3,""))</f>
        <v/>
      </c>
      <c r="L78" t="str">
        <f>IF(COUNTIF($J18:L18,L18)&gt;1,"",IF(L18&lt;&gt;"",$A$4,""))</f>
        <v/>
      </c>
      <c r="M78" t="str">
        <f>IF(COUNTIF($J18:M18,M18)&gt;1,"",IF(M18&lt;&gt;"",$A$5,""))</f>
        <v/>
      </c>
      <c r="N78" t="str">
        <f>IF(COUNTIF($J18:N18,N18)&gt;1,"",IF(N18&lt;&gt;"",$A$6,""))</f>
        <v/>
      </c>
      <c r="O78" t="str">
        <f>IF(COUNTIF($J18:O18,O18)&gt;1,"",IF(O18&lt;&gt;"",$A$7,""))</f>
        <v/>
      </c>
      <c r="P78" t="str">
        <f>IF(COUNTIF($J18:P18,P18)&gt;1,"",IF(P18&lt;&gt;"",$A$8,""))</f>
        <v/>
      </c>
      <c r="Q78" t="str">
        <f>IF(COUNTIF($J18:Q18,Q18)&gt;1,"",IF(Q18&lt;&gt;"",$A$9,""))</f>
        <v/>
      </c>
      <c r="R78" t="str">
        <f>IF(COUNTIF($J18:R18,R18)&gt;1,"",IF(R18&lt;&gt;"",$A$10,""))</f>
        <v/>
      </c>
      <c r="S78" s="39" t="str">
        <f>IF(COUNTIF($J18:S18,S18)&gt;1,"",IF(S18&lt;&gt;"",$A$11,""))</f>
        <v/>
      </c>
    </row>
    <row r="79" spans="9:19" x14ac:dyDescent="0.25">
      <c r="I79">
        <v>18</v>
      </c>
      <c r="J79" t="str">
        <f t="shared" si="1"/>
        <v/>
      </c>
      <c r="K79" t="str">
        <f>IF(COUNTIF($J19:K19,K19)&gt;1,"",IF(K19&lt;&gt;"",$A$3,""))</f>
        <v/>
      </c>
      <c r="L79" t="str">
        <f>IF(COUNTIF($J19:L19,L19)&gt;1,"",IF(L19&lt;&gt;"",$A$4,""))</f>
        <v/>
      </c>
      <c r="M79" t="str">
        <f>IF(COUNTIF($J19:M19,M19)&gt;1,"",IF(M19&lt;&gt;"",$A$5,""))</f>
        <v/>
      </c>
      <c r="N79" t="str">
        <f>IF(COUNTIF($J19:N19,N19)&gt;1,"",IF(N19&lt;&gt;"",$A$6,""))</f>
        <v/>
      </c>
      <c r="O79" t="str">
        <f>IF(COUNTIF($J19:O19,O19)&gt;1,"",IF(O19&lt;&gt;"",$A$7,""))</f>
        <v/>
      </c>
      <c r="P79" t="str">
        <f>IF(COUNTIF($J19:P19,P19)&gt;1,"",IF(P19&lt;&gt;"",$A$8,""))</f>
        <v/>
      </c>
      <c r="Q79" t="str">
        <f>IF(COUNTIF($J19:Q19,Q19)&gt;1,"",IF(Q19&lt;&gt;"",$A$9,""))</f>
        <v/>
      </c>
      <c r="R79" t="str">
        <f>IF(COUNTIF($J19:R19,R19)&gt;1,"",IF(R19&lt;&gt;"",$A$10,""))</f>
        <v/>
      </c>
      <c r="S79" s="39" t="str">
        <f>IF(COUNTIF($J19:S19,S19)&gt;1,"",IF(S19&lt;&gt;"",$A$11,""))</f>
        <v/>
      </c>
    </row>
    <row r="80" spans="9:19" x14ac:dyDescent="0.25">
      <c r="I80">
        <v>19</v>
      </c>
      <c r="J80" t="str">
        <f t="shared" si="1"/>
        <v/>
      </c>
      <c r="K80" t="str">
        <f>IF(COUNTIF($J20:K20,K20)&gt;1,"",IF(K20&lt;&gt;"",$A$3,""))</f>
        <v/>
      </c>
      <c r="L80" t="str">
        <f>IF(COUNTIF($J20:L20,L20)&gt;1,"",IF(L20&lt;&gt;"",$A$4,""))</f>
        <v/>
      </c>
      <c r="M80" t="str">
        <f>IF(COUNTIF($J20:M20,M20)&gt;1,"",IF(M20&lt;&gt;"",$A$5,""))</f>
        <v/>
      </c>
      <c r="N80" t="str">
        <f>IF(COUNTIF($J20:N20,N20)&gt;1,"",IF(N20&lt;&gt;"",$A$6,""))</f>
        <v/>
      </c>
      <c r="O80" t="str">
        <f>IF(COUNTIF($J20:O20,O20)&gt;1,"",IF(O20&lt;&gt;"",$A$7,""))</f>
        <v/>
      </c>
      <c r="P80" t="str">
        <f>IF(COUNTIF($J20:P20,P20)&gt;1,"",IF(P20&lt;&gt;"",$A$8,""))</f>
        <v/>
      </c>
      <c r="Q80" t="str">
        <f>IF(COUNTIF($J20:Q20,Q20)&gt;1,"",IF(Q20&lt;&gt;"",$A$9,""))</f>
        <v/>
      </c>
      <c r="R80" t="str">
        <f>IF(COUNTIF($J20:R20,R20)&gt;1,"",IF(R20&lt;&gt;"",$A$10,""))</f>
        <v/>
      </c>
      <c r="S80" s="39" t="str">
        <f>IF(COUNTIF($J20:S20,S20)&gt;1,"",IF(S20&lt;&gt;"",$A$11,""))</f>
        <v/>
      </c>
    </row>
    <row r="81" spans="9:19" x14ac:dyDescent="0.25">
      <c r="I81">
        <v>20</v>
      </c>
      <c r="J81" t="str">
        <f t="shared" si="1"/>
        <v/>
      </c>
      <c r="K81" t="str">
        <f>IF(COUNTIF($J21:K21,K21)&gt;1,"",IF(K21&lt;&gt;"",$A$3,""))</f>
        <v/>
      </c>
      <c r="L81" t="str">
        <f>IF(COUNTIF($J21:L21,L21)&gt;1,"",IF(L21&lt;&gt;"",$A$4,""))</f>
        <v/>
      </c>
      <c r="M81" t="str">
        <f>IF(COUNTIF($J21:M21,M21)&gt;1,"",IF(M21&lt;&gt;"",$A$5,""))</f>
        <v/>
      </c>
      <c r="N81" t="str">
        <f>IF(COUNTIF($J21:N21,N21)&gt;1,"",IF(N21&lt;&gt;"",$A$6,""))</f>
        <v/>
      </c>
      <c r="O81" t="str">
        <f>IF(COUNTIF($J21:O21,O21)&gt;1,"",IF(O21&lt;&gt;"",$A$7,""))</f>
        <v/>
      </c>
      <c r="P81" t="str">
        <f>IF(COUNTIF($J21:P21,P21)&gt;1,"",IF(P21&lt;&gt;"",$A$8,""))</f>
        <v/>
      </c>
      <c r="Q81" t="str">
        <f>IF(COUNTIF($J21:Q21,Q21)&gt;1,"",IF(Q21&lt;&gt;"",$A$9,""))</f>
        <v/>
      </c>
      <c r="R81" t="str">
        <f>IF(COUNTIF($J21:R21,R21)&gt;1,"",IF(R21&lt;&gt;"",$A$10,""))</f>
        <v/>
      </c>
      <c r="S81" s="39" t="str">
        <f>IF(COUNTIF($J21:S21,S21)&gt;1,"",IF(S21&lt;&gt;"",$A$11,""))</f>
        <v/>
      </c>
    </row>
    <row r="82" spans="9:19" x14ac:dyDescent="0.25">
      <c r="I82">
        <v>21</v>
      </c>
      <c r="J82" t="str">
        <f t="shared" si="1"/>
        <v/>
      </c>
      <c r="K82" t="str">
        <f>IF(COUNTIF($J22:K22,K22)&gt;1,"",IF(K22&lt;&gt;"",$A$3,""))</f>
        <v/>
      </c>
      <c r="L82" t="str">
        <f>IF(COUNTIF($J22:L22,L22)&gt;1,"",IF(L22&lt;&gt;"",$A$4,""))</f>
        <v/>
      </c>
      <c r="M82" t="str">
        <f>IF(COUNTIF($J22:M22,M22)&gt;1,"",IF(M22&lt;&gt;"",$A$5,""))</f>
        <v/>
      </c>
      <c r="N82" t="str">
        <f>IF(COUNTIF($J22:N22,N22)&gt;1,"",IF(N22&lt;&gt;"",$A$6,""))</f>
        <v/>
      </c>
      <c r="O82" t="str">
        <f>IF(COUNTIF($J22:O22,O22)&gt;1,"",IF(O22&lt;&gt;"",$A$7,""))</f>
        <v/>
      </c>
      <c r="P82" t="str">
        <f>IF(COUNTIF($J22:P22,P22)&gt;1,"",IF(P22&lt;&gt;"",$A$8,""))</f>
        <v/>
      </c>
      <c r="Q82" t="str">
        <f>IF(COUNTIF($J22:Q22,Q22)&gt;1,"",IF(Q22&lt;&gt;"",$A$9,""))</f>
        <v/>
      </c>
      <c r="R82" t="str">
        <f>IF(COUNTIF($J22:R22,R22)&gt;1,"",IF(R22&lt;&gt;"",$A$10,""))</f>
        <v/>
      </c>
      <c r="S82" s="39" t="str">
        <f>IF(COUNTIF($J22:S22,S22)&gt;1,"",IF(S22&lt;&gt;"",$A$11,""))</f>
        <v/>
      </c>
    </row>
    <row r="83" spans="9:19" x14ac:dyDescent="0.25">
      <c r="I83">
        <v>22</v>
      </c>
      <c r="J83" t="str">
        <f t="shared" si="1"/>
        <v/>
      </c>
      <c r="K83" t="str">
        <f>IF(COUNTIF($J23:K23,K23)&gt;1,"",IF(K23&lt;&gt;"",$A$3,""))</f>
        <v/>
      </c>
      <c r="L83" t="str">
        <f>IF(COUNTIF($J23:L23,L23)&gt;1,"",IF(L23&lt;&gt;"",$A$4,""))</f>
        <v/>
      </c>
      <c r="M83" t="str">
        <f>IF(COUNTIF($J23:M23,M23)&gt;1,"",IF(M23&lt;&gt;"",$A$5,""))</f>
        <v/>
      </c>
      <c r="N83" t="str">
        <f>IF(COUNTIF($J23:N23,N23)&gt;1,"",IF(N23&lt;&gt;"",$A$6,""))</f>
        <v/>
      </c>
      <c r="O83" t="str">
        <f>IF(COUNTIF($J23:O23,O23)&gt;1,"",IF(O23&lt;&gt;"",$A$7,""))</f>
        <v/>
      </c>
      <c r="P83" t="str">
        <f>IF(COUNTIF($J23:P23,P23)&gt;1,"",IF(P23&lt;&gt;"",$A$8,""))</f>
        <v/>
      </c>
      <c r="Q83" t="str">
        <f>IF(COUNTIF($J23:Q23,Q23)&gt;1,"",IF(Q23&lt;&gt;"",$A$9,""))</f>
        <v/>
      </c>
      <c r="R83" t="str">
        <f>IF(COUNTIF($J23:R23,R23)&gt;1,"",IF(R23&lt;&gt;"",$A$10,""))</f>
        <v/>
      </c>
      <c r="S83" s="39" t="str">
        <f>IF(COUNTIF($J23:S23,S23)&gt;1,"",IF(S23&lt;&gt;"",$A$11,""))</f>
        <v/>
      </c>
    </row>
    <row r="84" spans="9:19" x14ac:dyDescent="0.25">
      <c r="I84">
        <v>23</v>
      </c>
      <c r="J84" t="str">
        <f t="shared" si="1"/>
        <v/>
      </c>
      <c r="K84" t="str">
        <f>IF(COUNTIF($J24:K24,K24)&gt;1,"",IF(K24&lt;&gt;"",$A$3,""))</f>
        <v/>
      </c>
      <c r="L84" t="str">
        <f>IF(COUNTIF($J24:L24,L24)&gt;1,"",IF(L24&lt;&gt;"",$A$4,""))</f>
        <v/>
      </c>
      <c r="M84" t="str">
        <f>IF(COUNTIF($J24:M24,M24)&gt;1,"",IF(M24&lt;&gt;"",$A$5,""))</f>
        <v/>
      </c>
      <c r="N84" t="str">
        <f>IF(COUNTIF($J24:N24,N24)&gt;1,"",IF(N24&lt;&gt;"",$A$6,""))</f>
        <v/>
      </c>
      <c r="O84" t="str">
        <f>IF(COUNTIF($J24:O24,O24)&gt;1,"",IF(O24&lt;&gt;"",$A$7,""))</f>
        <v/>
      </c>
      <c r="P84" t="str">
        <f>IF(COUNTIF($J24:P24,P24)&gt;1,"",IF(P24&lt;&gt;"",$A$8,""))</f>
        <v/>
      </c>
      <c r="Q84" t="str">
        <f>IF(COUNTIF($J24:Q24,Q24)&gt;1,"",IF(Q24&lt;&gt;"",$A$9,""))</f>
        <v/>
      </c>
      <c r="R84" t="str">
        <f>IF(COUNTIF($J24:R24,R24)&gt;1,"",IF(R24&lt;&gt;"",$A$10,""))</f>
        <v/>
      </c>
      <c r="S84" s="39" t="str">
        <f>IF(COUNTIF($J24:S24,S24)&gt;1,"",IF(S24&lt;&gt;"",$A$11,""))</f>
        <v/>
      </c>
    </row>
    <row r="85" spans="9:19" x14ac:dyDescent="0.25">
      <c r="I85">
        <v>24</v>
      </c>
      <c r="J85" t="str">
        <f t="shared" si="1"/>
        <v/>
      </c>
      <c r="K85" t="str">
        <f>IF(COUNTIF($J25:K25,K25)&gt;1,"",IF(K25&lt;&gt;"",$A$3,""))</f>
        <v/>
      </c>
      <c r="L85" t="str">
        <f>IF(COUNTIF($J25:L25,L25)&gt;1,"",IF(L25&lt;&gt;"",$A$4,""))</f>
        <v/>
      </c>
      <c r="M85" t="str">
        <f>IF(COUNTIF($J25:M25,M25)&gt;1,"",IF(M25&lt;&gt;"",$A$5,""))</f>
        <v/>
      </c>
      <c r="N85" t="str">
        <f>IF(COUNTIF($J25:N25,N25)&gt;1,"",IF(N25&lt;&gt;"",$A$6,""))</f>
        <v/>
      </c>
      <c r="O85" t="str">
        <f>IF(COUNTIF($J25:O25,O25)&gt;1,"",IF(O25&lt;&gt;"",$A$7,""))</f>
        <v/>
      </c>
      <c r="P85" t="str">
        <f>IF(COUNTIF($J25:P25,P25)&gt;1,"",IF(P25&lt;&gt;"",$A$8,""))</f>
        <v/>
      </c>
      <c r="Q85" t="str">
        <f>IF(COUNTIF($J25:Q25,Q25)&gt;1,"",IF(Q25&lt;&gt;"",$A$9,""))</f>
        <v/>
      </c>
      <c r="R85" t="str">
        <f>IF(COUNTIF($J25:R25,R25)&gt;1,"",IF(R25&lt;&gt;"",$A$10,""))</f>
        <v/>
      </c>
      <c r="S85" s="39" t="str">
        <f>IF(COUNTIF($J25:S25,S25)&gt;1,"",IF(S25&lt;&gt;"",$A$11,""))</f>
        <v/>
      </c>
    </row>
    <row r="86" spans="9:19" x14ac:dyDescent="0.25">
      <c r="I86">
        <v>25</v>
      </c>
      <c r="J86" t="str">
        <f t="shared" si="1"/>
        <v/>
      </c>
      <c r="K86" t="str">
        <f>IF(COUNTIF($J26:K26,K26)&gt;1,"",IF(K26&lt;&gt;"",$A$3,""))</f>
        <v/>
      </c>
      <c r="L86" t="str">
        <f>IF(COUNTIF($J26:L26,L26)&gt;1,"",IF(L26&lt;&gt;"",$A$4,""))</f>
        <v/>
      </c>
      <c r="M86" t="str">
        <f>IF(COUNTIF($J26:M26,M26)&gt;1,"",IF(M26&lt;&gt;"",$A$5,""))</f>
        <v/>
      </c>
      <c r="N86" t="str">
        <f>IF(COUNTIF($J26:N26,N26)&gt;1,"",IF(N26&lt;&gt;"",$A$6,""))</f>
        <v/>
      </c>
      <c r="O86" t="str">
        <f>IF(COUNTIF($J26:O26,O26)&gt;1,"",IF(O26&lt;&gt;"",$A$7,""))</f>
        <v/>
      </c>
      <c r="P86" t="str">
        <f>IF(COUNTIF($J26:P26,P26)&gt;1,"",IF(P26&lt;&gt;"",$A$8,""))</f>
        <v/>
      </c>
      <c r="Q86" t="str">
        <f>IF(COUNTIF($J26:Q26,Q26)&gt;1,"",IF(Q26&lt;&gt;"",$A$9,""))</f>
        <v/>
      </c>
      <c r="R86" t="str">
        <f>IF(COUNTIF($J26:R26,R26)&gt;1,"",IF(R26&lt;&gt;"",$A$10,""))</f>
        <v/>
      </c>
      <c r="S86" s="39" t="str">
        <f>IF(COUNTIF($J26:S26,S26)&gt;1,"",IF(S26&lt;&gt;"",$A$11,""))</f>
        <v/>
      </c>
    </row>
    <row r="87" spans="9:19" x14ac:dyDescent="0.25">
      <c r="I87">
        <v>26</v>
      </c>
      <c r="J87" t="str">
        <f t="shared" si="1"/>
        <v/>
      </c>
      <c r="K87" t="str">
        <f>IF(COUNTIF($J27:K27,K27)&gt;1,"",IF(K27&lt;&gt;"",$A$3,""))</f>
        <v/>
      </c>
      <c r="L87" t="str">
        <f>IF(COUNTIF($J27:L27,L27)&gt;1,"",IF(L27&lt;&gt;"",$A$4,""))</f>
        <v/>
      </c>
      <c r="M87" t="str">
        <f>IF(COUNTIF($J27:M27,M27)&gt;1,"",IF(M27&lt;&gt;"",$A$5,""))</f>
        <v/>
      </c>
      <c r="N87" t="str">
        <f>IF(COUNTIF($J27:N27,N27)&gt;1,"",IF(N27&lt;&gt;"",$A$6,""))</f>
        <v/>
      </c>
      <c r="O87" t="str">
        <f>IF(COUNTIF($J27:O27,O27)&gt;1,"",IF(O27&lt;&gt;"",$A$7,""))</f>
        <v/>
      </c>
      <c r="P87" t="str">
        <f>IF(COUNTIF($J27:P27,P27)&gt;1,"",IF(P27&lt;&gt;"",$A$8,""))</f>
        <v/>
      </c>
      <c r="Q87" t="str">
        <f>IF(COUNTIF($J27:Q27,Q27)&gt;1,"",IF(Q27&lt;&gt;"",$A$9,""))</f>
        <v/>
      </c>
      <c r="R87" t="str">
        <f>IF(COUNTIF($J27:R27,R27)&gt;1,"",IF(R27&lt;&gt;"",$A$10,""))</f>
        <v/>
      </c>
      <c r="S87" s="39" t="str">
        <f>IF(COUNTIF($J27:S27,S27)&gt;1,"",IF(S27&lt;&gt;"",$A$11,""))</f>
        <v/>
      </c>
    </row>
    <row r="88" spans="9:19" x14ac:dyDescent="0.25">
      <c r="I88">
        <v>27</v>
      </c>
      <c r="J88" t="str">
        <f t="shared" si="1"/>
        <v/>
      </c>
      <c r="K88" t="str">
        <f>IF(COUNTIF($J28:K28,K28)&gt;1,"",IF(K28&lt;&gt;"",$A$3,""))</f>
        <v/>
      </c>
      <c r="L88" t="str">
        <f>IF(COUNTIF($J28:L28,L28)&gt;1,"",IF(L28&lt;&gt;"",$A$4,""))</f>
        <v/>
      </c>
      <c r="M88" t="str">
        <f>IF(COUNTIF($J28:M28,M28)&gt;1,"",IF(M28&lt;&gt;"",$A$5,""))</f>
        <v/>
      </c>
      <c r="N88" t="str">
        <f>IF(COUNTIF($J28:N28,N28)&gt;1,"",IF(N28&lt;&gt;"",$A$6,""))</f>
        <v/>
      </c>
      <c r="O88" t="str">
        <f>IF(COUNTIF($J28:O28,O28)&gt;1,"",IF(O28&lt;&gt;"",$A$7,""))</f>
        <v/>
      </c>
      <c r="P88" t="str">
        <f>IF(COUNTIF($J28:P28,P28)&gt;1,"",IF(P28&lt;&gt;"",$A$8,""))</f>
        <v/>
      </c>
      <c r="Q88" t="str">
        <f>IF(COUNTIF($J28:Q28,Q28)&gt;1,"",IF(Q28&lt;&gt;"",$A$9,""))</f>
        <v/>
      </c>
      <c r="R88" t="str">
        <f>IF(COUNTIF($J28:R28,R28)&gt;1,"",IF(R28&lt;&gt;"",$A$10,""))</f>
        <v/>
      </c>
      <c r="S88" s="39" t="str">
        <f>IF(COUNTIF($J28:S28,S28)&gt;1,"",IF(S28&lt;&gt;"",$A$11,""))</f>
        <v/>
      </c>
    </row>
    <row r="89" spans="9:19" x14ac:dyDescent="0.25">
      <c r="I89">
        <v>28</v>
      </c>
      <c r="J89" t="str">
        <f t="shared" si="1"/>
        <v/>
      </c>
      <c r="K89" t="str">
        <f>IF(COUNTIF($J29:K29,K29)&gt;1,"",IF(K29&lt;&gt;"",$A$3,""))</f>
        <v/>
      </c>
      <c r="L89" t="str">
        <f>IF(COUNTIF($J29:L29,L29)&gt;1,"",IF(L29&lt;&gt;"",$A$4,""))</f>
        <v/>
      </c>
      <c r="M89" t="str">
        <f>IF(COUNTIF($J29:M29,M29)&gt;1,"",IF(M29&lt;&gt;"",$A$5,""))</f>
        <v/>
      </c>
      <c r="N89" t="str">
        <f>IF(COUNTIF($J29:N29,N29)&gt;1,"",IF(N29&lt;&gt;"",$A$6,""))</f>
        <v/>
      </c>
      <c r="O89" t="str">
        <f>IF(COUNTIF($J29:O29,O29)&gt;1,"",IF(O29&lt;&gt;"",$A$7,""))</f>
        <v/>
      </c>
      <c r="P89" t="str">
        <f>IF(COUNTIF($J29:P29,P29)&gt;1,"",IF(P29&lt;&gt;"",$A$8,""))</f>
        <v/>
      </c>
      <c r="Q89" t="str">
        <f>IF(COUNTIF($J29:Q29,Q29)&gt;1,"",IF(Q29&lt;&gt;"",$A$9,""))</f>
        <v/>
      </c>
      <c r="R89" t="str">
        <f>IF(COUNTIF($J29:R29,R29)&gt;1,"",IF(R29&lt;&gt;"",$A$10,""))</f>
        <v/>
      </c>
      <c r="S89" s="39" t="str">
        <f>IF(COUNTIF($J29:S29,S29)&gt;1,"",IF(S29&lt;&gt;"",$A$11,""))</f>
        <v/>
      </c>
    </row>
    <row r="90" spans="9:19" x14ac:dyDescent="0.25">
      <c r="I90">
        <v>29</v>
      </c>
      <c r="J90" t="str">
        <f t="shared" si="1"/>
        <v/>
      </c>
      <c r="K90" t="str">
        <f>IF(COUNTIF($J30:K30,K30)&gt;1,"",IF(K30&lt;&gt;"",$A$3,""))</f>
        <v/>
      </c>
      <c r="L90" t="str">
        <f>IF(COUNTIF($J30:L30,L30)&gt;1,"",IF(L30&lt;&gt;"",$A$4,""))</f>
        <v/>
      </c>
      <c r="M90" t="str">
        <f>IF(COUNTIF($J30:M30,M30)&gt;1,"",IF(M30&lt;&gt;"",$A$5,""))</f>
        <v/>
      </c>
      <c r="N90" t="str">
        <f>IF(COUNTIF($J30:N30,N30)&gt;1,"",IF(N30&lt;&gt;"",$A$6,""))</f>
        <v/>
      </c>
      <c r="O90" t="str">
        <f>IF(COUNTIF($J30:O30,O30)&gt;1,"",IF(O30&lt;&gt;"",$A$7,""))</f>
        <v/>
      </c>
      <c r="P90" t="str">
        <f>IF(COUNTIF($J30:P30,P30)&gt;1,"",IF(P30&lt;&gt;"",$A$8,""))</f>
        <v/>
      </c>
      <c r="Q90" t="str">
        <f>IF(COUNTIF($J30:Q30,Q30)&gt;1,"",IF(Q30&lt;&gt;"",$A$9,""))</f>
        <v/>
      </c>
      <c r="R90" t="str">
        <f>IF(COUNTIF($J30:R30,R30)&gt;1,"",IF(R30&lt;&gt;"",$A$10,""))</f>
        <v/>
      </c>
      <c r="S90" s="39" t="str">
        <f>IF(COUNTIF($J30:S30,S30)&gt;1,"",IF(S30&lt;&gt;"",$A$11,""))</f>
        <v/>
      </c>
    </row>
    <row r="91" spans="9:19" x14ac:dyDescent="0.25">
      <c r="I91">
        <v>30</v>
      </c>
      <c r="J91" t="str">
        <f t="shared" si="1"/>
        <v/>
      </c>
      <c r="K91" t="str">
        <f>IF(COUNTIF($J31:K31,K31)&gt;1,"",IF(K31&lt;&gt;"",$A$3,""))</f>
        <v/>
      </c>
      <c r="L91" t="str">
        <f>IF(COUNTIF($J31:L31,L31)&gt;1,"",IF(L31&lt;&gt;"",$A$4,""))</f>
        <v/>
      </c>
      <c r="M91" t="str">
        <f>IF(COUNTIF($J31:M31,M31)&gt;1,"",IF(M31&lt;&gt;"",$A$5,""))</f>
        <v/>
      </c>
      <c r="N91" t="str">
        <f>IF(COUNTIF($J31:N31,N31)&gt;1,"",IF(N31&lt;&gt;"",$A$6,""))</f>
        <v/>
      </c>
      <c r="O91" t="str">
        <f>IF(COUNTIF($J31:O31,O31)&gt;1,"",IF(O31&lt;&gt;"",$A$7,""))</f>
        <v/>
      </c>
      <c r="P91" t="str">
        <f>IF(COUNTIF($J31:P31,P31)&gt;1,"",IF(P31&lt;&gt;"",$A$8,""))</f>
        <v/>
      </c>
      <c r="Q91" t="str">
        <f>IF(COUNTIF($J31:Q31,Q31)&gt;1,"",IF(Q31&lt;&gt;"",$A$9,""))</f>
        <v/>
      </c>
      <c r="R91" t="str">
        <f>IF(COUNTIF($J31:R31,R31)&gt;1,"",IF(R31&lt;&gt;"",$A$10,""))</f>
        <v/>
      </c>
      <c r="S91" s="39" t="str">
        <f>IF(COUNTIF($J31:S31,S31)&gt;1,"",IF(S31&lt;&gt;"",$A$11,""))</f>
        <v/>
      </c>
    </row>
    <row r="92" spans="9:19" x14ac:dyDescent="0.25">
      <c r="I92">
        <v>31</v>
      </c>
      <c r="J92" t="str">
        <f t="shared" si="1"/>
        <v/>
      </c>
      <c r="K92" t="str">
        <f>IF(COUNTIF($J32:K32,K32)&gt;1,"",IF(K32&lt;&gt;"",$A$3,""))</f>
        <v/>
      </c>
      <c r="L92" t="str">
        <f>IF(COUNTIF($J32:L32,L32)&gt;1,"",IF(L32&lt;&gt;"",$A$4,""))</f>
        <v/>
      </c>
      <c r="M92" t="str">
        <f>IF(COUNTIF($J32:M32,M32)&gt;1,"",IF(M32&lt;&gt;"",$A$5,""))</f>
        <v/>
      </c>
      <c r="N92" t="str">
        <f>IF(COUNTIF($J32:N32,N32)&gt;1,"",IF(N32&lt;&gt;"",$A$6,""))</f>
        <v/>
      </c>
      <c r="O92" t="str">
        <f>IF(COUNTIF($J32:O32,O32)&gt;1,"",IF(O32&lt;&gt;"",$A$7,""))</f>
        <v/>
      </c>
      <c r="P92" t="str">
        <f>IF(COUNTIF($J32:P32,P32)&gt;1,"",IF(P32&lt;&gt;"",$A$8,""))</f>
        <v/>
      </c>
      <c r="Q92" t="str">
        <f>IF(COUNTIF($J32:Q32,Q32)&gt;1,"",IF(Q32&lt;&gt;"",$A$9,""))</f>
        <v/>
      </c>
      <c r="R92" t="str">
        <f>IF(COUNTIF($J32:R32,R32)&gt;1,"",IF(R32&lt;&gt;"",$A$10,""))</f>
        <v/>
      </c>
      <c r="S92" s="39" t="str">
        <f>IF(COUNTIF($J32:S32,S32)&gt;1,"",IF(S32&lt;&gt;"",$A$11,""))</f>
        <v/>
      </c>
    </row>
    <row r="93" spans="9:19" x14ac:dyDescent="0.25">
      <c r="I93">
        <v>32</v>
      </c>
      <c r="J93" t="str">
        <f t="shared" si="1"/>
        <v/>
      </c>
      <c r="K93" t="str">
        <f>IF(COUNTIF($J33:K33,K33)&gt;1,"",IF(K33&lt;&gt;"",$A$3,""))</f>
        <v/>
      </c>
      <c r="L93" t="str">
        <f>IF(COUNTIF($J33:L33,L33)&gt;1,"",IF(L33&lt;&gt;"",$A$4,""))</f>
        <v/>
      </c>
      <c r="M93" t="str">
        <f>IF(COUNTIF($J33:M33,M33)&gt;1,"",IF(M33&lt;&gt;"",$A$5,""))</f>
        <v/>
      </c>
      <c r="N93" t="str">
        <f>IF(COUNTIF($J33:N33,N33)&gt;1,"",IF(N33&lt;&gt;"",$A$6,""))</f>
        <v/>
      </c>
      <c r="O93" t="str">
        <f>IF(COUNTIF($J33:O33,O33)&gt;1,"",IF(O33&lt;&gt;"",$A$7,""))</f>
        <v/>
      </c>
      <c r="P93" t="str">
        <f>IF(COUNTIF($J33:P33,P33)&gt;1,"",IF(P33&lt;&gt;"",$A$8,""))</f>
        <v/>
      </c>
      <c r="Q93" t="str">
        <f>IF(COUNTIF($J33:Q33,Q33)&gt;1,"",IF(Q33&lt;&gt;"",$A$9,""))</f>
        <v/>
      </c>
      <c r="R93" t="str">
        <f>IF(COUNTIF($J33:R33,R33)&gt;1,"",IF(R33&lt;&gt;"",$A$10,""))</f>
        <v/>
      </c>
      <c r="S93" s="39" t="str">
        <f>IF(COUNTIF($J33:S33,S33)&gt;1,"",IF(S33&lt;&gt;"",$A$11,""))</f>
        <v/>
      </c>
    </row>
    <row r="94" spans="9:19" x14ac:dyDescent="0.25">
      <c r="I94">
        <v>33</v>
      </c>
      <c r="J94" t="str">
        <f t="shared" si="1"/>
        <v/>
      </c>
      <c r="K94" t="str">
        <f>IF(COUNTIF($J34:K34,K34)&gt;1,"",IF(K34&lt;&gt;"",$A$3,""))</f>
        <v/>
      </c>
      <c r="L94" t="str">
        <f>IF(COUNTIF($J34:L34,L34)&gt;1,"",IF(L34&lt;&gt;"",$A$4,""))</f>
        <v/>
      </c>
      <c r="M94" t="str">
        <f>IF(COUNTIF($J34:M34,M34)&gt;1,"",IF(M34&lt;&gt;"",$A$5,""))</f>
        <v/>
      </c>
      <c r="N94" t="str">
        <f>IF(COUNTIF($J34:N34,N34)&gt;1,"",IF(N34&lt;&gt;"",$A$6,""))</f>
        <v/>
      </c>
      <c r="O94" t="str">
        <f>IF(COUNTIF($J34:O34,O34)&gt;1,"",IF(O34&lt;&gt;"",$A$7,""))</f>
        <v/>
      </c>
      <c r="P94" t="str">
        <f>IF(COUNTIF($J34:P34,P34)&gt;1,"",IF(P34&lt;&gt;"",$A$8,""))</f>
        <v/>
      </c>
      <c r="Q94" t="str">
        <f>IF(COUNTIF($J34:Q34,Q34)&gt;1,"",IF(Q34&lt;&gt;"",$A$9,""))</f>
        <v/>
      </c>
      <c r="R94" t="str">
        <f>IF(COUNTIF($J34:R34,R34)&gt;1,"",IF(R34&lt;&gt;"",$A$10,""))</f>
        <v/>
      </c>
      <c r="S94" s="39" t="str">
        <f>IF(COUNTIF($J34:S34,S34)&gt;1,"",IF(S34&lt;&gt;"",$A$11,""))</f>
        <v/>
      </c>
    </row>
    <row r="95" spans="9:19" x14ac:dyDescent="0.25">
      <c r="I95">
        <v>34</v>
      </c>
      <c r="J95" t="str">
        <f t="shared" si="1"/>
        <v/>
      </c>
      <c r="K95" t="str">
        <f>IF(COUNTIF($J35:K35,K35)&gt;1,"",IF(K35&lt;&gt;"",$A$3,""))</f>
        <v/>
      </c>
      <c r="L95" t="str">
        <f>IF(COUNTIF($J35:L35,L35)&gt;1,"",IF(L35&lt;&gt;"",$A$4,""))</f>
        <v/>
      </c>
      <c r="M95" t="str">
        <f>IF(COUNTIF($J35:M35,M35)&gt;1,"",IF(M35&lt;&gt;"",$A$5,""))</f>
        <v/>
      </c>
      <c r="N95" t="str">
        <f>IF(COUNTIF($J35:N35,N35)&gt;1,"",IF(N35&lt;&gt;"",$A$6,""))</f>
        <v/>
      </c>
      <c r="O95" t="str">
        <f>IF(COUNTIF($J35:O35,O35)&gt;1,"",IF(O35&lt;&gt;"",$A$7,""))</f>
        <v/>
      </c>
      <c r="P95" t="str">
        <f>IF(COUNTIF($J35:P35,P35)&gt;1,"",IF(P35&lt;&gt;"",$A$8,""))</f>
        <v/>
      </c>
      <c r="Q95" t="str">
        <f>IF(COUNTIF($J35:Q35,Q35)&gt;1,"",IF(Q35&lt;&gt;"",$A$9,""))</f>
        <v/>
      </c>
      <c r="R95" t="str">
        <f>IF(COUNTIF($J35:R35,R35)&gt;1,"",IF(R35&lt;&gt;"",$A$10,""))</f>
        <v/>
      </c>
      <c r="S95" s="39" t="str">
        <f>IF(COUNTIF($J35:S35,S35)&gt;1,"",IF(S35&lt;&gt;"",$A$11,""))</f>
        <v/>
      </c>
    </row>
    <row r="96" spans="9:19" x14ac:dyDescent="0.25">
      <c r="I96">
        <v>35</v>
      </c>
      <c r="J96" t="str">
        <f t="shared" si="1"/>
        <v/>
      </c>
      <c r="K96" t="str">
        <f>IF(COUNTIF($J36:K36,K36)&gt;1,"",IF(K36&lt;&gt;"",$A$3,""))</f>
        <v/>
      </c>
      <c r="L96" t="str">
        <f>IF(COUNTIF($J36:L36,L36)&gt;1,"",IF(L36&lt;&gt;"",$A$4,""))</f>
        <v/>
      </c>
      <c r="M96" t="str">
        <f>IF(COUNTIF($J36:M36,M36)&gt;1,"",IF(M36&lt;&gt;"",$A$5,""))</f>
        <v/>
      </c>
      <c r="N96" t="str">
        <f>IF(COUNTIF($J36:N36,N36)&gt;1,"",IF(N36&lt;&gt;"",$A$6,""))</f>
        <v/>
      </c>
      <c r="O96" t="str">
        <f>IF(COUNTIF($J36:O36,O36)&gt;1,"",IF(O36&lt;&gt;"",$A$7,""))</f>
        <v/>
      </c>
      <c r="P96" t="str">
        <f>IF(COUNTIF($J36:P36,P36)&gt;1,"",IF(P36&lt;&gt;"",$A$8,""))</f>
        <v/>
      </c>
      <c r="Q96" t="str">
        <f>IF(COUNTIF($J36:Q36,Q36)&gt;1,"",IF(Q36&lt;&gt;"",$A$9,""))</f>
        <v/>
      </c>
      <c r="R96" t="str">
        <f>IF(COUNTIF($J36:R36,R36)&gt;1,"",IF(R36&lt;&gt;"",$A$10,""))</f>
        <v/>
      </c>
      <c r="S96" s="39" t="str">
        <f>IF(COUNTIF($J36:S36,S36)&gt;1,"",IF(S36&lt;&gt;"",$A$11,""))</f>
        <v/>
      </c>
    </row>
    <row r="97" spans="9:19" x14ac:dyDescent="0.25">
      <c r="I97">
        <v>36</v>
      </c>
      <c r="J97" t="str">
        <f t="shared" si="1"/>
        <v/>
      </c>
      <c r="K97" t="str">
        <f>IF(COUNTIF($J37:K37,K37)&gt;1,"",IF(K37&lt;&gt;"",$A$3,""))</f>
        <v/>
      </c>
      <c r="L97" t="str">
        <f>IF(COUNTIF($J37:L37,L37)&gt;1,"",IF(L37&lt;&gt;"",$A$4,""))</f>
        <v/>
      </c>
      <c r="M97" t="str">
        <f>IF(COUNTIF($J37:M37,M37)&gt;1,"",IF(M37&lt;&gt;"",$A$5,""))</f>
        <v/>
      </c>
      <c r="N97" t="str">
        <f>IF(COUNTIF($J37:N37,N37)&gt;1,"",IF(N37&lt;&gt;"",$A$6,""))</f>
        <v/>
      </c>
      <c r="O97" t="str">
        <f>IF(COUNTIF($J37:O37,O37)&gt;1,"",IF(O37&lt;&gt;"",$A$7,""))</f>
        <v/>
      </c>
      <c r="P97" t="str">
        <f>IF(COUNTIF($J37:P37,P37)&gt;1,"",IF(P37&lt;&gt;"",$A$8,""))</f>
        <v/>
      </c>
      <c r="Q97" t="str">
        <f>IF(COUNTIF($J37:Q37,Q37)&gt;1,"",IF(Q37&lt;&gt;"",$A$9,""))</f>
        <v/>
      </c>
      <c r="R97" t="str">
        <f>IF(COUNTIF($J37:R37,R37)&gt;1,"",IF(R37&lt;&gt;"",$A$10,""))</f>
        <v/>
      </c>
      <c r="S97" s="39" t="str">
        <f>IF(COUNTIF($J37:S37,S37)&gt;1,"",IF(S37&lt;&gt;"",$A$11,""))</f>
        <v/>
      </c>
    </row>
    <row r="98" spans="9:19" x14ac:dyDescent="0.25">
      <c r="I98">
        <v>37</v>
      </c>
      <c r="J98" t="str">
        <f t="shared" si="1"/>
        <v/>
      </c>
      <c r="K98" t="str">
        <f>IF(COUNTIF($J38:K38,K38)&gt;1,"",IF(K38&lt;&gt;"",$A$3,""))</f>
        <v/>
      </c>
      <c r="L98" t="str">
        <f>IF(COUNTIF($J38:L38,L38)&gt;1,"",IF(L38&lt;&gt;"",$A$4,""))</f>
        <v/>
      </c>
      <c r="M98" t="str">
        <f>IF(COUNTIF($J38:M38,M38)&gt;1,"",IF(M38&lt;&gt;"",$A$5,""))</f>
        <v/>
      </c>
      <c r="N98" t="str">
        <f>IF(COUNTIF($J38:N38,N38)&gt;1,"",IF(N38&lt;&gt;"",$A$6,""))</f>
        <v/>
      </c>
      <c r="O98" t="str">
        <f>IF(COUNTIF($J38:O38,O38)&gt;1,"",IF(O38&lt;&gt;"",$A$7,""))</f>
        <v/>
      </c>
      <c r="P98" t="str">
        <f>IF(COUNTIF($J38:P38,P38)&gt;1,"",IF(P38&lt;&gt;"",$A$8,""))</f>
        <v/>
      </c>
      <c r="Q98" t="str">
        <f>IF(COUNTIF($J38:Q38,Q38)&gt;1,"",IF(Q38&lt;&gt;"",$A$9,""))</f>
        <v/>
      </c>
      <c r="R98" t="str">
        <f>IF(COUNTIF($J38:R38,R38)&gt;1,"",IF(R38&lt;&gt;"",$A$10,""))</f>
        <v/>
      </c>
      <c r="S98" s="39" t="str">
        <f>IF(COUNTIF($J38:S38,S38)&gt;1,"",IF(S38&lt;&gt;"",$A$11,""))</f>
        <v/>
      </c>
    </row>
    <row r="99" spans="9:19" x14ac:dyDescent="0.25">
      <c r="I99">
        <v>38</v>
      </c>
      <c r="J99" t="str">
        <f t="shared" si="1"/>
        <v/>
      </c>
      <c r="K99" t="str">
        <f>IF(COUNTIF($J39:K39,K39)&gt;1,"",IF(K39&lt;&gt;"",$A$3,""))</f>
        <v/>
      </c>
      <c r="L99" t="str">
        <f>IF(COUNTIF($J39:L39,L39)&gt;1,"",IF(L39&lt;&gt;"",$A$4,""))</f>
        <v/>
      </c>
      <c r="M99" t="str">
        <f>IF(COUNTIF($J39:M39,M39)&gt;1,"",IF(M39&lt;&gt;"",$A$5,""))</f>
        <v/>
      </c>
      <c r="N99" t="str">
        <f>IF(COUNTIF($J39:N39,N39)&gt;1,"",IF(N39&lt;&gt;"",$A$6,""))</f>
        <v/>
      </c>
      <c r="O99" t="str">
        <f>IF(COUNTIF($J39:O39,O39)&gt;1,"",IF(O39&lt;&gt;"",$A$7,""))</f>
        <v/>
      </c>
      <c r="P99" t="str">
        <f>IF(COUNTIF($J39:P39,P39)&gt;1,"",IF(P39&lt;&gt;"",$A$8,""))</f>
        <v/>
      </c>
      <c r="Q99" t="str">
        <f>IF(COUNTIF($J39:Q39,Q39)&gt;1,"",IF(Q39&lt;&gt;"",$A$9,""))</f>
        <v/>
      </c>
      <c r="R99" t="str">
        <f>IF(COUNTIF($J39:R39,R39)&gt;1,"",IF(R39&lt;&gt;"",$A$10,""))</f>
        <v/>
      </c>
      <c r="S99" s="39" t="str">
        <f>IF(COUNTIF($J39:S39,S39)&gt;1,"",IF(S39&lt;&gt;"",$A$11,""))</f>
        <v/>
      </c>
    </row>
    <row r="100" spans="9:19" x14ac:dyDescent="0.25">
      <c r="I100">
        <v>39</v>
      </c>
      <c r="J100" t="str">
        <f t="shared" si="1"/>
        <v/>
      </c>
      <c r="K100" t="str">
        <f>IF(COUNTIF($J40:K40,K40)&gt;1,"",IF(K40&lt;&gt;"",$A$3,""))</f>
        <v/>
      </c>
      <c r="L100" t="str">
        <f>IF(COUNTIF($J40:L40,L40)&gt;1,"",IF(L40&lt;&gt;"",$A$4,""))</f>
        <v/>
      </c>
      <c r="M100" t="str">
        <f>IF(COUNTIF($J40:M40,M40)&gt;1,"",IF(M40&lt;&gt;"",$A$5,""))</f>
        <v/>
      </c>
      <c r="N100" t="str">
        <f>IF(COUNTIF($J40:N40,N40)&gt;1,"",IF(N40&lt;&gt;"",$A$6,""))</f>
        <v/>
      </c>
      <c r="O100" t="str">
        <f>IF(COUNTIF($J40:O40,O40)&gt;1,"",IF(O40&lt;&gt;"",$A$7,""))</f>
        <v/>
      </c>
      <c r="P100" t="str">
        <f>IF(COUNTIF($J40:P40,P40)&gt;1,"",IF(P40&lt;&gt;"",$A$8,""))</f>
        <v/>
      </c>
      <c r="Q100" t="str">
        <f>IF(COUNTIF($J40:Q40,Q40)&gt;1,"",IF(Q40&lt;&gt;"",$A$9,""))</f>
        <v/>
      </c>
      <c r="R100" t="str">
        <f>IF(COUNTIF($J40:R40,R40)&gt;1,"",IF(R40&lt;&gt;"",$A$10,""))</f>
        <v/>
      </c>
      <c r="S100" s="39" t="str">
        <f>IF(COUNTIF($J40:S40,S40)&gt;1,"",IF(S40&lt;&gt;"",$A$11,""))</f>
        <v/>
      </c>
    </row>
    <row r="101" spans="9:19" x14ac:dyDescent="0.25">
      <c r="I101">
        <v>40</v>
      </c>
      <c r="J101" t="str">
        <f t="shared" si="1"/>
        <v/>
      </c>
      <c r="K101" t="str">
        <f>IF(COUNTIF($J41:K41,K41)&gt;1,"",IF(K41&lt;&gt;"",$A$3,""))</f>
        <v/>
      </c>
      <c r="L101" t="str">
        <f>IF(COUNTIF($J41:L41,L41)&gt;1,"",IF(L41&lt;&gt;"",$A$4,""))</f>
        <v/>
      </c>
      <c r="M101" t="str">
        <f>IF(COUNTIF($J41:M41,M41)&gt;1,"",IF(M41&lt;&gt;"",$A$5,""))</f>
        <v/>
      </c>
      <c r="N101" t="str">
        <f>IF(COUNTIF($J41:N41,N41)&gt;1,"",IF(N41&lt;&gt;"",$A$6,""))</f>
        <v/>
      </c>
      <c r="O101" t="str">
        <f>IF(COUNTIF($J41:O41,O41)&gt;1,"",IF(O41&lt;&gt;"",$A$7,""))</f>
        <v/>
      </c>
      <c r="P101" t="str">
        <f>IF(COUNTIF($J41:P41,P41)&gt;1,"",IF(P41&lt;&gt;"",$A$8,""))</f>
        <v/>
      </c>
      <c r="Q101" t="str">
        <f>IF(COUNTIF($J41:Q41,Q41)&gt;1,"",IF(Q41&lt;&gt;"",$A$9,""))</f>
        <v/>
      </c>
      <c r="R101" t="str">
        <f>IF(COUNTIF($J41:R41,R41)&gt;1,"",IF(R41&lt;&gt;"",$A$10,""))</f>
        <v/>
      </c>
      <c r="S101" s="39" t="str">
        <f>IF(COUNTIF($J41:S41,S41)&gt;1,"",IF(S41&lt;&gt;"",$A$11,""))</f>
        <v/>
      </c>
    </row>
    <row r="102" spans="9:19" x14ac:dyDescent="0.25">
      <c r="I102">
        <v>41</v>
      </c>
      <c r="J102" t="str">
        <f t="shared" si="1"/>
        <v/>
      </c>
      <c r="K102" t="str">
        <f>IF(COUNTIF($J42:K42,K42)&gt;1,"",IF(K42&lt;&gt;"",$A$3,""))</f>
        <v/>
      </c>
      <c r="L102" t="str">
        <f>IF(COUNTIF($J42:L42,L42)&gt;1,"",IF(L42&lt;&gt;"",$A$4,""))</f>
        <v/>
      </c>
      <c r="M102" t="str">
        <f>IF(COUNTIF($J42:M42,M42)&gt;1,"",IF(M42&lt;&gt;"",$A$5,""))</f>
        <v/>
      </c>
      <c r="N102" t="str">
        <f>IF(COUNTIF($J42:N42,N42)&gt;1,"",IF(N42&lt;&gt;"",$A$6,""))</f>
        <v/>
      </c>
      <c r="O102" t="str">
        <f>IF(COUNTIF($J42:O42,O42)&gt;1,"",IF(O42&lt;&gt;"",$A$7,""))</f>
        <v/>
      </c>
      <c r="P102" t="str">
        <f>IF(COUNTIF($J42:P42,P42)&gt;1,"",IF(P42&lt;&gt;"",$A$8,""))</f>
        <v/>
      </c>
      <c r="Q102" t="str">
        <f>IF(COUNTIF($J42:Q42,Q42)&gt;1,"",IF(Q42&lt;&gt;"",$A$9,""))</f>
        <v/>
      </c>
      <c r="R102" t="str">
        <f>IF(COUNTIF($J42:R42,R42)&gt;1,"",IF(R42&lt;&gt;"",$A$10,""))</f>
        <v/>
      </c>
      <c r="S102" s="39" t="str">
        <f>IF(COUNTIF($J42:S42,S42)&gt;1,"",IF(S42&lt;&gt;"",$A$11,""))</f>
        <v/>
      </c>
    </row>
    <row r="103" spans="9:19" x14ac:dyDescent="0.25">
      <c r="I103">
        <v>42</v>
      </c>
      <c r="J103" t="str">
        <f t="shared" si="1"/>
        <v/>
      </c>
      <c r="K103" t="str">
        <f>IF(COUNTIF($J43:K43,K43)&gt;1,"",IF(K43&lt;&gt;"",$A$3,""))</f>
        <v/>
      </c>
      <c r="L103" t="str">
        <f>IF(COUNTIF($J43:L43,L43)&gt;1,"",IF(L43&lt;&gt;"",$A$4,""))</f>
        <v/>
      </c>
      <c r="M103" t="str">
        <f>IF(COUNTIF($J43:M43,M43)&gt;1,"",IF(M43&lt;&gt;"",$A$5,""))</f>
        <v/>
      </c>
      <c r="N103" t="str">
        <f>IF(COUNTIF($J43:N43,N43)&gt;1,"",IF(N43&lt;&gt;"",$A$6,""))</f>
        <v/>
      </c>
      <c r="O103" t="str">
        <f>IF(COUNTIF($J43:O43,O43)&gt;1,"",IF(O43&lt;&gt;"",$A$7,""))</f>
        <v/>
      </c>
      <c r="P103" t="str">
        <f>IF(COUNTIF($J43:P43,P43)&gt;1,"",IF(P43&lt;&gt;"",$A$8,""))</f>
        <v/>
      </c>
      <c r="Q103" t="str">
        <f>IF(COUNTIF($J43:Q43,Q43)&gt;1,"",IF(Q43&lt;&gt;"",$A$9,""))</f>
        <v/>
      </c>
      <c r="R103" t="str">
        <f>IF(COUNTIF($J43:R43,R43)&gt;1,"",IF(R43&lt;&gt;"",$A$10,""))</f>
        <v/>
      </c>
      <c r="S103" s="39" t="str">
        <f>IF(COUNTIF($J43:S43,S43)&gt;1,"",IF(S43&lt;&gt;"",$A$11,""))</f>
        <v/>
      </c>
    </row>
    <row r="104" spans="9:19" x14ac:dyDescent="0.25">
      <c r="I104">
        <v>43</v>
      </c>
      <c r="J104" t="str">
        <f t="shared" si="1"/>
        <v/>
      </c>
      <c r="K104" t="str">
        <f>IF(COUNTIF($J44:K44,K44)&gt;1,"",IF(K44&lt;&gt;"",$A$3,""))</f>
        <v/>
      </c>
      <c r="L104" t="str">
        <f>IF(COUNTIF($J44:L44,L44)&gt;1,"",IF(L44&lt;&gt;"",$A$4,""))</f>
        <v/>
      </c>
      <c r="M104" t="str">
        <f>IF(COUNTIF($J44:M44,M44)&gt;1,"",IF(M44&lt;&gt;"",$A$5,""))</f>
        <v/>
      </c>
      <c r="N104" t="str">
        <f>IF(COUNTIF($J44:N44,N44)&gt;1,"",IF(N44&lt;&gt;"",$A$6,""))</f>
        <v/>
      </c>
      <c r="O104" t="str">
        <f>IF(COUNTIF($J44:O44,O44)&gt;1,"",IF(O44&lt;&gt;"",$A$7,""))</f>
        <v/>
      </c>
      <c r="P104" t="str">
        <f>IF(COUNTIF($J44:P44,P44)&gt;1,"",IF(P44&lt;&gt;"",$A$8,""))</f>
        <v/>
      </c>
      <c r="Q104" t="str">
        <f>IF(COUNTIF($J44:Q44,Q44)&gt;1,"",IF(Q44&lt;&gt;"",$A$9,""))</f>
        <v/>
      </c>
      <c r="R104" t="str">
        <f>IF(COUNTIF($J44:R44,R44)&gt;1,"",IF(R44&lt;&gt;"",$A$10,""))</f>
        <v/>
      </c>
      <c r="S104" s="39" t="str">
        <f>IF(COUNTIF($J44:S44,S44)&gt;1,"",IF(S44&lt;&gt;"",$A$11,""))</f>
        <v/>
      </c>
    </row>
    <row r="105" spans="9:19" x14ac:dyDescent="0.25">
      <c r="I105">
        <v>44</v>
      </c>
      <c r="J105" t="str">
        <f t="shared" si="1"/>
        <v/>
      </c>
      <c r="K105" t="str">
        <f>IF(COUNTIF($J45:K45,K45)&gt;1,"",IF(K45&lt;&gt;"",$A$3,""))</f>
        <v/>
      </c>
      <c r="L105" t="str">
        <f>IF(COUNTIF($J45:L45,L45)&gt;1,"",IF(L45&lt;&gt;"",$A$4,""))</f>
        <v/>
      </c>
      <c r="M105" t="str">
        <f>IF(COUNTIF($J45:M45,M45)&gt;1,"",IF(M45&lt;&gt;"",$A$5,""))</f>
        <v/>
      </c>
      <c r="N105" t="str">
        <f>IF(COUNTIF($J45:N45,N45)&gt;1,"",IF(N45&lt;&gt;"",$A$6,""))</f>
        <v/>
      </c>
      <c r="O105" t="str">
        <f>IF(COUNTIF($J45:O45,O45)&gt;1,"",IF(O45&lt;&gt;"",$A$7,""))</f>
        <v/>
      </c>
      <c r="P105" t="str">
        <f>IF(COUNTIF($J45:P45,P45)&gt;1,"",IF(P45&lt;&gt;"",$A$8,""))</f>
        <v/>
      </c>
      <c r="Q105" t="str">
        <f>IF(COUNTIF($J45:Q45,Q45)&gt;1,"",IF(Q45&lt;&gt;"",$A$9,""))</f>
        <v/>
      </c>
      <c r="R105" t="str">
        <f>IF(COUNTIF($J45:R45,R45)&gt;1,"",IF(R45&lt;&gt;"",$A$10,""))</f>
        <v/>
      </c>
      <c r="S105" s="39" t="str">
        <f>IF(COUNTIF($J45:S45,S45)&gt;1,"",IF(S45&lt;&gt;"",$A$11,""))</f>
        <v/>
      </c>
    </row>
    <row r="106" spans="9:19" x14ac:dyDescent="0.25">
      <c r="I106">
        <v>45</v>
      </c>
      <c r="J106" t="str">
        <f t="shared" si="1"/>
        <v/>
      </c>
      <c r="K106" t="str">
        <f>IF(COUNTIF($J46:K46,K46)&gt;1,"",IF(K46&lt;&gt;"",$A$3,""))</f>
        <v/>
      </c>
      <c r="L106" t="str">
        <f>IF(COUNTIF($J46:L46,L46)&gt;1,"",IF(L46&lt;&gt;"",$A$4,""))</f>
        <v/>
      </c>
      <c r="M106" t="str">
        <f>IF(COUNTIF($J46:M46,M46)&gt;1,"",IF(M46&lt;&gt;"",$A$5,""))</f>
        <v/>
      </c>
      <c r="N106" t="str">
        <f>IF(COUNTIF($J46:N46,N46)&gt;1,"",IF(N46&lt;&gt;"",$A$6,""))</f>
        <v/>
      </c>
      <c r="O106" t="str">
        <f>IF(COUNTIF($J46:O46,O46)&gt;1,"",IF(O46&lt;&gt;"",$A$7,""))</f>
        <v/>
      </c>
      <c r="P106" t="str">
        <f>IF(COUNTIF($J46:P46,P46)&gt;1,"",IF(P46&lt;&gt;"",$A$8,""))</f>
        <v/>
      </c>
      <c r="Q106" t="str">
        <f>IF(COUNTIF($J46:Q46,Q46)&gt;1,"",IF(Q46&lt;&gt;"",$A$9,""))</f>
        <v/>
      </c>
      <c r="R106" t="str">
        <f>IF(COUNTIF($J46:R46,R46)&gt;1,"",IF(R46&lt;&gt;"",$A$10,""))</f>
        <v/>
      </c>
      <c r="S106" s="39" t="str">
        <f>IF(COUNTIF($J46:S46,S46)&gt;1,"",IF(S46&lt;&gt;"",$A$11,""))</f>
        <v/>
      </c>
    </row>
    <row r="107" spans="9:19" x14ac:dyDescent="0.25">
      <c r="I107">
        <v>46</v>
      </c>
      <c r="J107" t="str">
        <f t="shared" si="1"/>
        <v/>
      </c>
      <c r="K107" t="str">
        <f>IF(COUNTIF($J47:K47,K47)&gt;1,"",IF(K47&lt;&gt;"",$A$3,""))</f>
        <v/>
      </c>
      <c r="L107" t="str">
        <f>IF(COUNTIF($J47:L47,L47)&gt;1,"",IF(L47&lt;&gt;"",$A$4,""))</f>
        <v/>
      </c>
      <c r="M107" t="str">
        <f>IF(COUNTIF($J47:M47,M47)&gt;1,"",IF(M47&lt;&gt;"",$A$5,""))</f>
        <v/>
      </c>
      <c r="N107" t="str">
        <f>IF(COUNTIF($J47:N47,N47)&gt;1,"",IF(N47&lt;&gt;"",$A$6,""))</f>
        <v/>
      </c>
      <c r="O107" t="str">
        <f>IF(COUNTIF($J47:O47,O47)&gt;1,"",IF(O47&lt;&gt;"",$A$7,""))</f>
        <v/>
      </c>
      <c r="P107" t="str">
        <f>IF(COUNTIF($J47:P47,P47)&gt;1,"",IF(P47&lt;&gt;"",$A$8,""))</f>
        <v/>
      </c>
      <c r="Q107" t="str">
        <f>IF(COUNTIF($J47:Q47,Q47)&gt;1,"",IF(Q47&lt;&gt;"",$A$9,""))</f>
        <v/>
      </c>
      <c r="R107" t="str">
        <f>IF(COUNTIF($J47:R47,R47)&gt;1,"",IF(R47&lt;&gt;"",$A$10,""))</f>
        <v/>
      </c>
      <c r="S107" s="39" t="str">
        <f>IF(COUNTIF($J47:S47,S47)&gt;1,"",IF(S47&lt;&gt;"",$A$11,""))</f>
        <v/>
      </c>
    </row>
    <row r="108" spans="9:19" x14ac:dyDescent="0.25">
      <c r="I108">
        <v>47</v>
      </c>
      <c r="J108" t="str">
        <f t="shared" si="1"/>
        <v/>
      </c>
      <c r="K108" t="str">
        <f>IF(COUNTIF($J48:K48,K48)&gt;1,"",IF(K48&lt;&gt;"",$A$3,""))</f>
        <v/>
      </c>
      <c r="L108" t="str">
        <f>IF(COUNTIF($J48:L48,L48)&gt;1,"",IF(L48&lt;&gt;"",$A$4,""))</f>
        <v/>
      </c>
      <c r="M108" t="str">
        <f>IF(COUNTIF($J48:M48,M48)&gt;1,"",IF(M48&lt;&gt;"",$A$5,""))</f>
        <v/>
      </c>
      <c r="N108" t="str">
        <f>IF(COUNTIF($J48:N48,N48)&gt;1,"",IF(N48&lt;&gt;"",$A$6,""))</f>
        <v/>
      </c>
      <c r="O108" t="str">
        <f>IF(COUNTIF($J48:O48,O48)&gt;1,"",IF(O48&lt;&gt;"",$A$7,""))</f>
        <v/>
      </c>
      <c r="P108" t="str">
        <f>IF(COUNTIF($J48:P48,P48)&gt;1,"",IF(P48&lt;&gt;"",$A$8,""))</f>
        <v/>
      </c>
      <c r="Q108" t="str">
        <f>IF(COUNTIF($J48:Q48,Q48)&gt;1,"",IF(Q48&lt;&gt;"",$A$9,""))</f>
        <v/>
      </c>
      <c r="R108" t="str">
        <f>IF(COUNTIF($J48:R48,R48)&gt;1,"",IF(R48&lt;&gt;"",$A$10,""))</f>
        <v/>
      </c>
      <c r="S108" s="39" t="str">
        <f>IF(COUNTIF($J48:S48,S48)&gt;1,"",IF(S48&lt;&gt;"",$A$11,""))</f>
        <v/>
      </c>
    </row>
    <row r="109" spans="9:19" x14ac:dyDescent="0.25">
      <c r="I109">
        <v>48</v>
      </c>
      <c r="J109" t="str">
        <f t="shared" si="1"/>
        <v/>
      </c>
      <c r="K109" t="str">
        <f>IF(COUNTIF($J49:K49,K49)&gt;1,"",IF(K49&lt;&gt;"",$A$3,""))</f>
        <v/>
      </c>
      <c r="L109" t="str">
        <f>IF(COUNTIF($J49:L49,L49)&gt;1,"",IF(L49&lt;&gt;"",$A$4,""))</f>
        <v/>
      </c>
      <c r="M109" t="str">
        <f>IF(COUNTIF($J49:M49,M49)&gt;1,"",IF(M49&lt;&gt;"",$A$5,""))</f>
        <v/>
      </c>
      <c r="N109" t="str">
        <f>IF(COUNTIF($J49:N49,N49)&gt;1,"",IF(N49&lt;&gt;"",$A$6,""))</f>
        <v/>
      </c>
      <c r="O109" t="str">
        <f>IF(COUNTIF($J49:O49,O49)&gt;1,"",IF(O49&lt;&gt;"",$A$7,""))</f>
        <v/>
      </c>
      <c r="P109" t="str">
        <f>IF(COUNTIF($J49:P49,P49)&gt;1,"",IF(P49&lt;&gt;"",$A$8,""))</f>
        <v/>
      </c>
      <c r="Q109" t="str">
        <f>IF(COUNTIF($J49:Q49,Q49)&gt;1,"",IF(Q49&lt;&gt;"",$A$9,""))</f>
        <v/>
      </c>
      <c r="R109" t="str">
        <f>IF(COUNTIF($J49:R49,R49)&gt;1,"",IF(R49&lt;&gt;"",$A$10,""))</f>
        <v/>
      </c>
      <c r="S109" s="39" t="str">
        <f>IF(COUNTIF($J49:S49,S49)&gt;1,"",IF(S49&lt;&gt;"",$A$11,""))</f>
        <v/>
      </c>
    </row>
    <row r="110" spans="9:19" x14ac:dyDescent="0.25">
      <c r="I110">
        <v>49</v>
      </c>
      <c r="J110" t="str">
        <f t="shared" si="1"/>
        <v/>
      </c>
      <c r="K110" t="str">
        <f>IF(COUNTIF($J50:K50,K50)&gt;1,"",IF(K50&lt;&gt;"",$A$3,""))</f>
        <v/>
      </c>
      <c r="L110" t="str">
        <f>IF(COUNTIF($J50:L50,L50)&gt;1,"",IF(L50&lt;&gt;"",$A$4,""))</f>
        <v/>
      </c>
      <c r="M110" t="str">
        <f>IF(COUNTIF($J50:M50,M50)&gt;1,"",IF(M50&lt;&gt;"",$A$5,""))</f>
        <v/>
      </c>
      <c r="N110" t="str">
        <f>IF(COUNTIF($J50:N50,N50)&gt;1,"",IF(N50&lt;&gt;"",$A$6,""))</f>
        <v/>
      </c>
      <c r="O110" t="str">
        <f>IF(COUNTIF($J50:O50,O50)&gt;1,"",IF(O50&lt;&gt;"",$A$7,""))</f>
        <v/>
      </c>
      <c r="P110" t="str">
        <f>IF(COUNTIF($J50:P50,P50)&gt;1,"",IF(P50&lt;&gt;"",$A$8,""))</f>
        <v/>
      </c>
      <c r="Q110" t="str">
        <f>IF(COUNTIF($J50:Q50,Q50)&gt;1,"",IF(Q50&lt;&gt;"",$A$9,""))</f>
        <v/>
      </c>
      <c r="R110" t="str">
        <f>IF(COUNTIF($J50:R50,R50)&gt;1,"",IF(R50&lt;&gt;"",$A$10,""))</f>
        <v/>
      </c>
      <c r="S110" s="39" t="str">
        <f>IF(COUNTIF($J50:S50,S50)&gt;1,"",IF(S50&lt;&gt;"",$A$11,""))</f>
        <v/>
      </c>
    </row>
    <row r="111" spans="9:19" x14ac:dyDescent="0.25">
      <c r="I111">
        <v>50</v>
      </c>
      <c r="J111" t="str">
        <f t="shared" si="1"/>
        <v/>
      </c>
      <c r="K111" t="str">
        <f>IF(COUNTIF($J51:K51,K51)&gt;1,"",IF(K51&lt;&gt;"",$A$3,""))</f>
        <v/>
      </c>
      <c r="L111" t="str">
        <f>IF(COUNTIF($J51:L51,L51)&gt;1,"",IF(L51&lt;&gt;"",$A$4,""))</f>
        <v/>
      </c>
      <c r="M111" t="str">
        <f>IF(COUNTIF($J51:M51,M51)&gt;1,"",IF(M51&lt;&gt;"",$A$5,""))</f>
        <v/>
      </c>
      <c r="N111" t="str">
        <f>IF(COUNTIF($J51:N51,N51)&gt;1,"",IF(N51&lt;&gt;"",$A$6,""))</f>
        <v/>
      </c>
      <c r="O111" t="str">
        <f>IF(COUNTIF($J51:O51,O51)&gt;1,"",IF(O51&lt;&gt;"",$A$7,""))</f>
        <v/>
      </c>
      <c r="P111" t="str">
        <f>IF(COUNTIF($J51:P51,P51)&gt;1,"",IF(P51&lt;&gt;"",$A$8,""))</f>
        <v/>
      </c>
      <c r="Q111" t="str">
        <f>IF(COUNTIF($J51:Q51,Q51)&gt;1,"",IF(Q51&lt;&gt;"",$A$9,""))</f>
        <v/>
      </c>
      <c r="R111" t="str">
        <f>IF(COUNTIF($J51:R51,R51)&gt;1,"",IF(R51&lt;&gt;"",$A$10,""))</f>
        <v/>
      </c>
      <c r="S111" s="39" t="str">
        <f>IF(COUNTIF($J51:S51,S51)&gt;1,"",IF(S51&lt;&gt;"",$A$11,""))</f>
        <v/>
      </c>
    </row>
    <row r="112" spans="9:19" x14ac:dyDescent="0.25">
      <c r="I112">
        <v>51</v>
      </c>
      <c r="J112" t="str">
        <f t="shared" si="1"/>
        <v/>
      </c>
      <c r="K112" t="str">
        <f>IF(COUNTIF($J52:K52,K52)&gt;1,"",IF(K52&lt;&gt;"",$A$3,""))</f>
        <v/>
      </c>
      <c r="L112" t="str">
        <f>IF(COUNTIF($J52:L52,L52)&gt;1,"",IF(L52&lt;&gt;"",$A$4,""))</f>
        <v/>
      </c>
      <c r="M112" t="str">
        <f>IF(COUNTIF($J52:M52,M52)&gt;1,"",IF(M52&lt;&gt;"",$A$5,""))</f>
        <v/>
      </c>
      <c r="N112" t="str">
        <f>IF(COUNTIF($J52:N52,N52)&gt;1,"",IF(N52&lt;&gt;"",$A$6,""))</f>
        <v/>
      </c>
      <c r="O112" t="str">
        <f>IF(COUNTIF($J52:O52,O52)&gt;1,"",IF(O52&lt;&gt;"",$A$7,""))</f>
        <v/>
      </c>
      <c r="P112" t="str">
        <f>IF(COUNTIF($J52:P52,P52)&gt;1,"",IF(P52&lt;&gt;"",$A$8,""))</f>
        <v/>
      </c>
      <c r="Q112" t="str">
        <f>IF(COUNTIF($J52:Q52,Q52)&gt;1,"",IF(Q52&lt;&gt;"",$A$9,""))</f>
        <v/>
      </c>
      <c r="R112" t="str">
        <f>IF(COUNTIF($J52:R52,R52)&gt;1,"",IF(R52&lt;&gt;"",$A$10,""))</f>
        <v/>
      </c>
      <c r="S112" s="39" t="str">
        <f>IF(COUNTIF($J52:S52,S52)&gt;1,"",IF(S52&lt;&gt;"",$A$11,""))</f>
        <v/>
      </c>
    </row>
    <row r="113" spans="9:19" x14ac:dyDescent="0.25">
      <c r="I113">
        <v>52</v>
      </c>
      <c r="J113" t="str">
        <f t="shared" si="1"/>
        <v/>
      </c>
      <c r="K113" t="str">
        <f>IF(COUNTIF($J53:K53,K53)&gt;1,"",IF(K53&lt;&gt;"",$A$3,""))</f>
        <v/>
      </c>
      <c r="L113" t="str">
        <f>IF(COUNTIF($J53:L53,L53)&gt;1,"",IF(L53&lt;&gt;"",$A$4,""))</f>
        <v/>
      </c>
      <c r="M113" t="str">
        <f>IF(COUNTIF($J53:M53,M53)&gt;1,"",IF(M53&lt;&gt;"",$A$5,""))</f>
        <v/>
      </c>
      <c r="N113" t="str">
        <f>IF(COUNTIF($J53:N53,N53)&gt;1,"",IF(N53&lt;&gt;"",$A$6,""))</f>
        <v/>
      </c>
      <c r="O113" t="str">
        <f>IF(COUNTIF($J53:O53,O53)&gt;1,"",IF(O53&lt;&gt;"",$A$7,""))</f>
        <v/>
      </c>
      <c r="P113" t="str">
        <f>IF(COUNTIF($J53:P53,P53)&gt;1,"",IF(P53&lt;&gt;"",$A$8,""))</f>
        <v/>
      </c>
      <c r="Q113" t="str">
        <f>IF(COUNTIF($J53:Q53,Q53)&gt;1,"",IF(Q53&lt;&gt;"",$A$9,""))</f>
        <v/>
      </c>
      <c r="R113" t="str">
        <f>IF(COUNTIF($J53:R53,R53)&gt;1,"",IF(R53&lt;&gt;"",$A$10,""))</f>
        <v/>
      </c>
      <c r="S113" s="39" t="str">
        <f>IF(COUNTIF($J53:S53,S53)&gt;1,"",IF(S53&lt;&gt;"",$A$11,""))</f>
        <v/>
      </c>
    </row>
    <row r="114" spans="9:19" x14ac:dyDescent="0.25">
      <c r="I114">
        <v>53</v>
      </c>
      <c r="J114" t="str">
        <f t="shared" si="1"/>
        <v/>
      </c>
      <c r="K114" t="str">
        <f>IF(COUNTIF($J54:K54,K54)&gt;1,"",IF(K54&lt;&gt;"",$A$3,""))</f>
        <v/>
      </c>
      <c r="L114" t="str">
        <f>IF(COUNTIF($J54:L54,L54)&gt;1,"",IF(L54&lt;&gt;"",$A$4,""))</f>
        <v/>
      </c>
      <c r="M114" t="str">
        <f>IF(COUNTIF($J54:M54,M54)&gt;1,"",IF(M54&lt;&gt;"",$A$5,""))</f>
        <v/>
      </c>
      <c r="N114" t="str">
        <f>IF(COUNTIF($J54:N54,N54)&gt;1,"",IF(N54&lt;&gt;"",$A$6,""))</f>
        <v/>
      </c>
      <c r="O114" t="str">
        <f>IF(COUNTIF($J54:O54,O54)&gt;1,"",IF(O54&lt;&gt;"",$A$7,""))</f>
        <v/>
      </c>
      <c r="P114" t="str">
        <f>IF(COUNTIF($J54:P54,P54)&gt;1,"",IF(P54&lt;&gt;"",$A$8,""))</f>
        <v/>
      </c>
      <c r="Q114" t="str">
        <f>IF(COUNTIF($J54:Q54,Q54)&gt;1,"",IF(Q54&lt;&gt;"",$A$9,""))</f>
        <v/>
      </c>
      <c r="R114" t="str">
        <f>IF(COUNTIF($J54:R54,R54)&gt;1,"",IF(R54&lt;&gt;"",$A$10,""))</f>
        <v/>
      </c>
      <c r="S114" s="39" t="str">
        <f>IF(COUNTIF($J54:S54,S54)&gt;1,"",IF(S54&lt;&gt;"",$A$11,""))</f>
        <v/>
      </c>
    </row>
    <row r="115" spans="9:19" x14ac:dyDescent="0.25">
      <c r="I115">
        <v>54</v>
      </c>
      <c r="J115" t="str">
        <f t="shared" si="1"/>
        <v/>
      </c>
      <c r="K115" t="str">
        <f>IF(COUNTIF($J55:K55,K55)&gt;1,"",IF(K55&lt;&gt;"",$A$3,""))</f>
        <v/>
      </c>
      <c r="L115" t="str">
        <f>IF(COUNTIF($J55:L55,L55)&gt;1,"",IF(L55&lt;&gt;"",$A$4,""))</f>
        <v/>
      </c>
      <c r="M115" t="str">
        <f>IF(COUNTIF($J55:M55,M55)&gt;1,"",IF(M55&lt;&gt;"",$A$5,""))</f>
        <v/>
      </c>
      <c r="N115" t="str">
        <f>IF(COUNTIF($J55:N55,N55)&gt;1,"",IF(N55&lt;&gt;"",$A$6,""))</f>
        <v/>
      </c>
      <c r="O115" t="str">
        <f>IF(COUNTIF($J55:O55,O55)&gt;1,"",IF(O55&lt;&gt;"",$A$7,""))</f>
        <v/>
      </c>
      <c r="P115" t="str">
        <f>IF(COUNTIF($J55:P55,P55)&gt;1,"",IF(P55&lt;&gt;"",$A$8,""))</f>
        <v/>
      </c>
      <c r="Q115" t="str">
        <f>IF(COUNTIF($J55:Q55,Q55)&gt;1,"",IF(Q55&lt;&gt;"",$A$9,""))</f>
        <v/>
      </c>
      <c r="R115" t="str">
        <f>IF(COUNTIF($J55:R55,R55)&gt;1,"",IF(R55&lt;&gt;"",$A$10,""))</f>
        <v/>
      </c>
      <c r="S115" s="39" t="str">
        <f>IF(COUNTIF($J55:S55,S55)&gt;1,"",IF(S55&lt;&gt;"",$A$11,""))</f>
        <v/>
      </c>
    </row>
    <row r="116" spans="9:19" x14ac:dyDescent="0.25">
      <c r="I116">
        <v>55</v>
      </c>
      <c r="J116" t="str">
        <f t="shared" si="1"/>
        <v/>
      </c>
      <c r="K116" t="str">
        <f>IF(COUNTIF($J56:K56,K56)&gt;1,"",IF(K56&lt;&gt;"",$A$3,""))</f>
        <v/>
      </c>
      <c r="L116" t="str">
        <f>IF(COUNTIF($J56:L56,L56)&gt;1,"",IF(L56&lt;&gt;"",$A$4,""))</f>
        <v/>
      </c>
      <c r="M116" t="str">
        <f>IF(COUNTIF($J56:M56,M56)&gt;1,"",IF(M56&lt;&gt;"",$A$5,""))</f>
        <v/>
      </c>
      <c r="N116" t="str">
        <f>IF(COUNTIF($J56:N56,N56)&gt;1,"",IF(N56&lt;&gt;"",$A$6,""))</f>
        <v/>
      </c>
      <c r="O116" t="str">
        <f>IF(COUNTIF($J56:O56,O56)&gt;1,"",IF(O56&lt;&gt;"",$A$7,""))</f>
        <v/>
      </c>
      <c r="P116" t="str">
        <f>IF(COUNTIF($J56:P56,P56)&gt;1,"",IF(P56&lt;&gt;"",$A$8,""))</f>
        <v/>
      </c>
      <c r="Q116" t="str">
        <f>IF(COUNTIF($J56:Q56,Q56)&gt;1,"",IF(Q56&lt;&gt;"",$A$9,""))</f>
        <v/>
      </c>
      <c r="R116" t="str">
        <f>IF(COUNTIF($J56:R56,R56)&gt;1,"",IF(R56&lt;&gt;"",$A$10,""))</f>
        <v/>
      </c>
      <c r="S116" s="39" t="str">
        <f>IF(COUNTIF($J56:S56,S56)&gt;1,"",IF(S56&lt;&gt;"",$A$11,""))</f>
        <v/>
      </c>
    </row>
    <row r="117" spans="9:19" x14ac:dyDescent="0.25">
      <c r="I117">
        <v>56</v>
      </c>
      <c r="J117" t="str">
        <f t="shared" si="1"/>
        <v/>
      </c>
      <c r="K117" t="str">
        <f>IF(COUNTIF($J57:K57,K57)&gt;1,"",IF(K57&lt;&gt;"",$A$3,""))</f>
        <v/>
      </c>
      <c r="L117" t="str">
        <f>IF(COUNTIF($J57:L57,L57)&gt;1,"",IF(L57&lt;&gt;"",$A$4,""))</f>
        <v/>
      </c>
      <c r="M117" t="str">
        <f>IF(COUNTIF($J57:M57,M57)&gt;1,"",IF(M57&lt;&gt;"",$A$5,""))</f>
        <v/>
      </c>
      <c r="N117" t="str">
        <f>IF(COUNTIF($J57:N57,N57)&gt;1,"",IF(N57&lt;&gt;"",$A$6,""))</f>
        <v/>
      </c>
      <c r="O117" t="str">
        <f>IF(COUNTIF($J57:O57,O57)&gt;1,"",IF(O57&lt;&gt;"",$A$7,""))</f>
        <v/>
      </c>
      <c r="P117" t="str">
        <f>IF(COUNTIF($J57:P57,P57)&gt;1,"",IF(P57&lt;&gt;"",$A$8,""))</f>
        <v/>
      </c>
      <c r="Q117" t="str">
        <f>IF(COUNTIF($J57:Q57,Q57)&gt;1,"",IF(Q57&lt;&gt;"",$A$9,""))</f>
        <v/>
      </c>
      <c r="R117" t="str">
        <f>IF(COUNTIF($J57:R57,R57)&gt;1,"",IF(R57&lt;&gt;"",$A$10,""))</f>
        <v/>
      </c>
      <c r="S117" s="39" t="str">
        <f>IF(COUNTIF($J57:S57,S57)&gt;1,"",IF(S57&lt;&gt;"",$A$11,""))</f>
        <v/>
      </c>
    </row>
    <row r="118" spans="9:19" x14ac:dyDescent="0.25">
      <c r="I118">
        <v>57</v>
      </c>
      <c r="J118" t="str">
        <f t="shared" si="1"/>
        <v/>
      </c>
      <c r="K118" t="str">
        <f>IF(COUNTIF($J58:K58,K58)&gt;1,"",IF(K58&lt;&gt;"",$A$3,""))</f>
        <v/>
      </c>
      <c r="L118" t="str">
        <f>IF(COUNTIF($J58:L58,L58)&gt;1,"",IF(L58&lt;&gt;"",$A$4,""))</f>
        <v/>
      </c>
      <c r="M118" t="str">
        <f>IF(COUNTIF($J58:M58,M58)&gt;1,"",IF(M58&lt;&gt;"",$A$5,""))</f>
        <v/>
      </c>
      <c r="N118" t="str">
        <f>IF(COUNTIF($J58:N58,N58)&gt;1,"",IF(N58&lt;&gt;"",$A$6,""))</f>
        <v/>
      </c>
      <c r="O118" t="str">
        <f>IF(COUNTIF($J58:O58,O58)&gt;1,"",IF(O58&lt;&gt;"",$A$7,""))</f>
        <v/>
      </c>
      <c r="P118" t="str">
        <f>IF(COUNTIF($J58:P58,P58)&gt;1,"",IF(P58&lt;&gt;"",$A$8,""))</f>
        <v/>
      </c>
      <c r="Q118" t="str">
        <f>IF(COUNTIF($J58:Q58,Q58)&gt;1,"",IF(Q58&lt;&gt;"",$A$9,""))</f>
        <v/>
      </c>
      <c r="R118" t="str">
        <f>IF(COUNTIF($J58:R58,R58)&gt;1,"",IF(R58&lt;&gt;"",$A$10,""))</f>
        <v/>
      </c>
      <c r="S118" s="39" t="str">
        <f>IF(COUNTIF($J58:S58,S58)&gt;1,"",IF(S58&lt;&gt;"",$A$11,""))</f>
        <v/>
      </c>
    </row>
    <row r="119" spans="9:19" x14ac:dyDescent="0.25">
      <c r="I119">
        <v>58</v>
      </c>
      <c r="J119" t="str">
        <f t="shared" si="1"/>
        <v/>
      </c>
      <c r="K119" t="str">
        <f>IF(COUNTIF($J59:K59,K59)&gt;1,"",IF(K59&lt;&gt;"",$A$3,""))</f>
        <v/>
      </c>
      <c r="L119" t="str">
        <f>IF(COUNTIF($J59:L59,L59)&gt;1,"",IF(L59&lt;&gt;"",$A$4,""))</f>
        <v/>
      </c>
      <c r="M119" t="str">
        <f>IF(COUNTIF($J59:M59,M59)&gt;1,"",IF(M59&lt;&gt;"",$A$5,""))</f>
        <v/>
      </c>
      <c r="N119" t="str">
        <f>IF(COUNTIF($J59:N59,N59)&gt;1,"",IF(N59&lt;&gt;"",$A$6,""))</f>
        <v/>
      </c>
      <c r="O119" t="str">
        <f>IF(COUNTIF($J59:O59,O59)&gt;1,"",IF(O59&lt;&gt;"",$A$7,""))</f>
        <v/>
      </c>
      <c r="P119" t="str">
        <f>IF(COUNTIF($J59:P59,P59)&gt;1,"",IF(P59&lt;&gt;"",$A$8,""))</f>
        <v/>
      </c>
      <c r="Q119" t="str">
        <f>IF(COUNTIF($J59:Q59,Q59)&gt;1,"",IF(Q59&lt;&gt;"",$A$9,""))</f>
        <v/>
      </c>
      <c r="R119" t="str">
        <f>IF(COUNTIF($J59:R59,R59)&gt;1,"",IF(R59&lt;&gt;"",$A$10,""))</f>
        <v/>
      </c>
      <c r="S119" s="39" t="str">
        <f>IF(COUNTIF($J59:S59,S59)&gt;1,"",IF(S59&lt;&gt;"",$A$11,""))</f>
        <v/>
      </c>
    </row>
    <row r="120" spans="9:19" x14ac:dyDescent="0.25">
      <c r="I120">
        <v>59</v>
      </c>
      <c r="J120" t="str">
        <f t="shared" si="1"/>
        <v/>
      </c>
      <c r="K120" t="str">
        <f>IF(COUNTIF($J60:K60,K60)&gt;1,"",IF(K60&lt;&gt;"",$A$3,""))</f>
        <v/>
      </c>
      <c r="L120" t="str">
        <f>IF(COUNTIF($J60:L60,L60)&gt;1,"",IF(L60&lt;&gt;"",$A$4,""))</f>
        <v/>
      </c>
      <c r="M120" t="str">
        <f>IF(COUNTIF($J60:M60,M60)&gt;1,"",IF(M60&lt;&gt;"",$A$5,""))</f>
        <v/>
      </c>
      <c r="N120" t="str">
        <f>IF(COUNTIF($J60:N60,N60)&gt;1,"",IF(N60&lt;&gt;"",$A$6,""))</f>
        <v/>
      </c>
      <c r="O120" t="str">
        <f>IF(COUNTIF($J60:O60,O60)&gt;1,"",IF(O60&lt;&gt;"",$A$7,""))</f>
        <v/>
      </c>
      <c r="P120" t="str">
        <f>IF(COUNTIF($J60:P60,P60)&gt;1,"",IF(P60&lt;&gt;"",$A$8,""))</f>
        <v/>
      </c>
      <c r="Q120" t="str">
        <f>IF(COUNTIF($J60:Q60,Q60)&gt;1,"",IF(Q60&lt;&gt;"",$A$9,""))</f>
        <v/>
      </c>
      <c r="R120" t="str">
        <f>IF(COUNTIF($J60:R60,R60)&gt;1,"",IF(R60&lt;&gt;"",$A$10,""))</f>
        <v/>
      </c>
      <c r="S120" s="39" t="str">
        <f>IF(COUNTIF($J60:S60,S60)&gt;1,"",IF(S60&lt;&gt;"",$A$11,""))</f>
        <v/>
      </c>
    </row>
    <row r="121" spans="9:19" x14ac:dyDescent="0.25">
      <c r="I121">
        <v>60</v>
      </c>
      <c r="J121" t="str">
        <f t="shared" si="1"/>
        <v/>
      </c>
      <c r="K121" t="str">
        <f>IF(COUNTIF($J61:K61,K61)&gt;1,"",IF(K61&lt;&gt;"",$A$3,""))</f>
        <v/>
      </c>
      <c r="L121" t="str">
        <f>IF(COUNTIF($J61:L61,L61)&gt;1,"",IF(L61&lt;&gt;"",$A$4,""))</f>
        <v/>
      </c>
      <c r="M121" t="str">
        <f>IF(COUNTIF($J61:M61,M61)&gt;1,"",IF(M61&lt;&gt;"",$A$5,""))</f>
        <v/>
      </c>
      <c r="N121" t="str">
        <f>IF(COUNTIF($J61:N61,N61)&gt;1,"",IF(N61&lt;&gt;"",$A$6,""))</f>
        <v/>
      </c>
      <c r="O121" t="str">
        <f>IF(COUNTIF($J61:O61,O61)&gt;1,"",IF(O61&lt;&gt;"",$A$7,""))</f>
        <v/>
      </c>
      <c r="P121" t="str">
        <f>IF(COUNTIF($J61:P61,P61)&gt;1,"",IF(P61&lt;&gt;"",$A$8,""))</f>
        <v/>
      </c>
      <c r="Q121" t="str">
        <f>IF(COUNTIF($J61:Q61,Q61)&gt;1,"",IF(Q61&lt;&gt;"",$A$9,""))</f>
        <v/>
      </c>
      <c r="R121" t="str">
        <f>IF(COUNTIF($J61:R61,R61)&gt;1,"",IF(R61&lt;&gt;"",$A$10,""))</f>
        <v/>
      </c>
      <c r="S121" s="39" t="str">
        <f>IF(COUNTIF($J61:S61,S61)&gt;1,"",IF(S61&lt;&gt;"",$A$11,""))</f>
        <v/>
      </c>
    </row>
  </sheetData>
  <conditionalFormatting sqref="A14:B14 A2:C13">
    <cfRule type="cellIs" dxfId="1" priority="2" operator="notEqual">
      <formula>""</formula>
    </cfRule>
  </conditionalFormatting>
  <conditionalFormatting sqref="D2:D13">
    <cfRule type="cellIs" dxfId="0" priority="1" operator="notEqual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SECCION</vt:lpstr>
      <vt:lpstr>Hoja1</vt:lpstr>
      <vt:lpstr>SECCION!Área_de_impresión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rleall</dc:creator>
  <cp:lastModifiedBy>Leandro Gutierrez A.</cp:lastModifiedBy>
  <cp:lastPrinted>2012-11-30T22:55:58Z</cp:lastPrinted>
  <dcterms:created xsi:type="dcterms:W3CDTF">2011-09-13T21:15:38Z</dcterms:created>
  <dcterms:modified xsi:type="dcterms:W3CDTF">2024-04-14T11:05:58Z</dcterms:modified>
</cp:coreProperties>
</file>